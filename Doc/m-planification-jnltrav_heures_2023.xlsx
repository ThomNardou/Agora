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updateLinks="never" codeName="ThisWorkbook"/>
  <mc:AlternateContent xmlns:mc="http://schemas.openxmlformats.org/markup-compatibility/2006">
    <mc:Choice Requires="x15">
      <x15ac:absPath xmlns:x15ac="http://schemas.microsoft.com/office/spreadsheetml/2010/11/ac" url="C:\Users\pk88yte\Documents\Github\Agora\Doc\"/>
    </mc:Choice>
  </mc:AlternateContent>
  <xr:revisionPtr revIDLastSave="0" documentId="13_ncr:1_{6DC4E4BF-9A14-4309-A167-A3A96F0376E8}" xr6:coauthVersionLast="47" xr6:coauthVersionMax="47" xr10:uidLastSave="{00000000-0000-0000-0000-000000000000}"/>
  <bookViews>
    <workbookView xWindow="28680" yWindow="-120" windowWidth="29040" windowHeight="15840" xr2:uid="{00000000-000D-0000-FFFF-FFFF00000000}"/>
  </bookViews>
  <sheets>
    <sheet name="Journal" sheetId="18" r:id="rId1"/>
    <sheet name="Feuil1" sheetId="19" r:id="rId2"/>
  </sheets>
  <definedNames>
    <definedName name="_xlnm.Print_Area" localSheetId="0">Journal!$A$1:$E$77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9" l="1"/>
  <c r="B40" i="18"/>
  <c r="I9" i="19"/>
  <c r="B34" i="18"/>
  <c r="B28" i="18"/>
  <c r="B18" i="18"/>
  <c r="C77" i="18" l="1"/>
</calcChain>
</file>

<file path=xl/sharedStrings.xml><?xml version="1.0" encoding="utf-8"?>
<sst xmlns="http://schemas.openxmlformats.org/spreadsheetml/2006/main" count="96" uniqueCount="71">
  <si>
    <t>Apprenti.e</t>
  </si>
  <si>
    <t>Durée total (h ou p)</t>
  </si>
  <si>
    <t>Classe ou Groupe</t>
  </si>
  <si>
    <t>Experts </t>
  </si>
  <si>
    <t>Chef.fe de Projet</t>
  </si>
  <si>
    <t>Bulle / Domaine / Module</t>
  </si>
  <si>
    <t>Sujet </t>
  </si>
  <si>
    <t>Tâches</t>
  </si>
  <si>
    <t>Dates</t>
  </si>
  <si>
    <r>
      <t xml:space="preserve">Durées </t>
    </r>
    <r>
      <rPr>
        <b/>
        <sz val="10"/>
        <rFont val="Century Gothic"/>
        <family val="2"/>
      </rPr>
      <t>[min]</t>
    </r>
  </si>
  <si>
    <t>Explications / Etats</t>
  </si>
  <si>
    <t>Sources, liens, références, commits …</t>
  </si>
  <si>
    <t>Bilan du jour :</t>
  </si>
  <si>
    <t>Total en heures</t>
  </si>
  <si>
    <t>Si nécessaire, [ Copier ] &amp; [ Insérer ] un ou des jours supplémentaires avant la ligne du total</t>
  </si>
  <si>
    <t>Thomas Nardou</t>
  </si>
  <si>
    <t>MID4</t>
  </si>
  <si>
    <t xml:space="preserve">Jonathan Melly </t>
  </si>
  <si>
    <t>Lecture CDC</t>
  </si>
  <si>
    <t>Disscussion avec expert</t>
  </si>
  <si>
    <t>Plannification</t>
  </si>
  <si>
    <t>Début</t>
  </si>
  <si>
    <t>Fin Matin</t>
  </si>
  <si>
    <t>Debut Après midi</t>
  </si>
  <si>
    <t>Fin</t>
  </si>
  <si>
    <t>Pause</t>
  </si>
  <si>
    <t>Temps de travail</t>
  </si>
  <si>
    <t>Lundi</t>
  </si>
  <si>
    <t>Mardi</t>
  </si>
  <si>
    <t>Mercredi</t>
  </si>
  <si>
    <t>Jeudi</t>
  </si>
  <si>
    <t>Vendredi</t>
  </si>
  <si>
    <t>TOTAL :</t>
  </si>
  <si>
    <t>90h</t>
  </si>
  <si>
    <t>Nicolas Bordoën, Michael Wyssa</t>
  </si>
  <si>
    <t>Travail pratique individuel (TPI)</t>
  </si>
  <si>
    <t>Agora</t>
  </si>
  <si>
    <t>J'ai rencontré un de mes deux expert avec on a pu discuter des modalité du TPI</t>
  </si>
  <si>
    <t>Rapport</t>
  </si>
  <si>
    <t>J'ai terminé la plannification je vais l'envoyer cet après midi aux experts</t>
  </si>
  <si>
    <t>J'ai déjà commencé la rédaction du rapport</t>
  </si>
  <si>
    <t>https://www.onlinegantt.com/#/gantt</t>
  </si>
  <si>
    <t xml:space="preserve"> J'ai un peu avancé sur la rédaction du rapport où j'ai notament fait le contexte ma méthode de travail et les risques j'ai utilisé l'IA afin de corrigé les fautes reformuler des tournure de phrase </t>
  </si>
  <si>
    <t>Discussion</t>
  </si>
  <si>
    <t>J'avais quelques question concernant le CRON j'en ai donc discuté avec M. Melly et on a aussi discuté si le stattus En cours, Terminé/ Echouée concernait la campagne ou juste le mail et on a décidé que ca touchais uniquement la campagne</t>
  </si>
  <si>
    <t>Maquettes</t>
  </si>
  <si>
    <t>J'ai commencé les maquettes basse fidélité en me basant sur une ancienne app que j'ai faite afin de gagner du temps</t>
  </si>
  <si>
    <t>J'ai continué mes maquettes</t>
  </si>
  <si>
    <t>Suite au mail de M. Borboën j'ai modifié ma planification</t>
  </si>
  <si>
    <t>J'ai commencé les maquettes hautes fidélité et en cours j'ai remarqué que j'avais oublié de faire la page de vue d'une campagne dans les maquette basse fidélité</t>
  </si>
  <si>
    <t>J'ai finis les maquette HF pour la page d'accueil</t>
  </si>
  <si>
    <t>J'ai terminé mes maquettes HF et j'ai aussi corrigé les maquette BF</t>
  </si>
  <si>
    <t>Base de donnée</t>
  </si>
  <si>
    <t>J'ai fais la modélisation de ma base de donnée et j'ai aussi profité pour créer la route de login</t>
  </si>
  <si>
    <t xml:space="preserve">J'ai des problème pour pouvoir utilisé ma base de donnée </t>
  </si>
  <si>
    <t>J'ai enfin regle le sproblème avec ma base donnée le problème était du à la verison de prisma je suis donc retourné dans une version antiérieur (celle utilisée dans le P-APPRO2)</t>
  </si>
  <si>
    <t>page d'abonnement</t>
  </si>
  <si>
    <t>J'ai fais la page pour s'abonner</t>
  </si>
  <si>
    <t>Ajustement</t>
  </si>
  <si>
    <t>J'ai fait quelque ajustement au niveau de la page et j'ai aussi fait la page de politique de confidentialité (fait par IA)</t>
  </si>
  <si>
    <t>Inscription</t>
  </si>
  <si>
    <t>J'ai presque terminé le système d'abonnement il me manque juste un petit detail</t>
  </si>
  <si>
    <t>Désinscription</t>
  </si>
  <si>
    <t>J'ai fais le système de déinscription, si j'ai pris autant de tempsc'est parce que je ne savais pas si au niveau légal je pouvais conserver l'utilisateur et enfaite j'ai appris que effectivement je dois supprimé les données dès lors quelles ne sont plus utiles cependant je peux les anonymisées et c'est ce que j'ai choisi</t>
  </si>
  <si>
    <t>http://weka.ch/themes/ressources-humaines/contrats-de-travail-et-reglements/protection-des-donnees/article/donnees-rh-quels-sont-les-delais-de-conservation-des-donnees-des-collaborateurs/</t>
  </si>
  <si>
    <t>J'avais envie d'un peu avancer dans mon rapport et c'est ce que j'ai fait j'ai notement réaliser la partie des exigences et les maquettes (pas encore terminé)</t>
  </si>
  <si>
    <t>J'ai pas mal avancé sur mon rapport j'ai notament modifié certaines choses dans la partie maqeutte (par ex mettre les légendes) et j'ai commencé/ bien avancé dans la aprtie de la base de donnée</t>
  </si>
  <si>
    <t>J'ai continué mon rapport où j'explique notament chaque table de la DB avec leurs relations</t>
  </si>
  <si>
    <t xml:space="preserve">J'ai continué mon rapport </t>
  </si>
  <si>
    <t>J'ai avancé dans mon rapport j'ai notament fait la partie explication du système d'auth des admin et la aprtie des choix technnique</t>
  </si>
  <si>
    <t>11h20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</si>
</sst>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Century Gothic"/>
      <family val="2"/>
      <scheme val="minor"/>
    </font>
    <font>
      <u/>
      <sz val="10"/>
      <color indexed="12"/>
      <name val="Arial"/>
      <family val="2"/>
    </font>
    <font>
      <sz val="11"/>
      <name val="Century Gothic"/>
      <family val="2"/>
    </font>
    <font>
      <sz val="10"/>
      <name val="Century Gothic"/>
      <family val="2"/>
    </font>
    <font>
      <b/>
      <sz val="12"/>
      <name val="Century Gothic"/>
      <family val="2"/>
    </font>
    <font>
      <b/>
      <sz val="10"/>
      <name val="Century Gothic"/>
      <family val="2"/>
    </font>
    <font>
      <u/>
      <sz val="10"/>
      <color theme="10"/>
      <name val="Century Gothic"/>
      <family val="2"/>
      <scheme val="minor"/>
    </font>
    <font>
      <sz val="12"/>
      <color rgb="FF001D35"/>
      <name val="Arial"/>
      <family val="2"/>
    </font>
  </fonts>
  <fills count="4">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s>
  <borders count="12">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
      <left style="medium">
        <color indexed="64"/>
      </left>
      <right style="medium">
        <color indexed="64"/>
      </right>
      <top/>
      <bottom/>
      <diagonal/>
    </border>
  </borders>
  <cellStyleXfs count="3">
    <xf numFmtId="0" fontId="0" fillId="0" borderId="0"/>
    <xf numFmtId="0" fontId="1" fillId="0" borderId="0" applyNumberFormat="0" applyFill="0" applyBorder="0" applyAlignment="0" applyProtection="0">
      <alignment vertical="top"/>
      <protection locked="0"/>
    </xf>
    <xf numFmtId="0" fontId="6" fillId="0" borderId="0" applyNumberFormat="0" applyFill="0" applyBorder="0" applyAlignment="0" applyProtection="0"/>
  </cellStyleXfs>
  <cellXfs count="41">
    <xf numFmtId="0" fontId="0" fillId="0" borderId="0" xfId="0"/>
    <xf numFmtId="0" fontId="3" fillId="0" borderId="0" xfId="0" applyFont="1" applyAlignment="1">
      <alignment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1"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2" xfId="1" applyFont="1" applyFill="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left" vertical="center" wrapText="1"/>
      <protection locked="0"/>
    </xf>
    <xf numFmtId="0" fontId="3" fillId="0" borderId="9" xfId="0" applyFont="1" applyBorder="1" applyAlignment="1" applyProtection="1">
      <alignment horizontal="center" vertical="center" wrapText="1"/>
      <protection locked="0"/>
    </xf>
    <xf numFmtId="0" fontId="3" fillId="0" borderId="9" xfId="0" applyFont="1" applyBorder="1" applyAlignment="1" applyProtection="1">
      <alignment horizontal="left" vertical="center" wrapText="1"/>
      <protection locked="0"/>
    </xf>
    <xf numFmtId="0" fontId="5" fillId="3" borderId="5"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0" xfId="0" applyFont="1" applyBorder="1" applyAlignment="1" applyProtection="1">
      <alignment horizontal="left" vertical="center" wrapText="1"/>
      <protection locked="0"/>
    </xf>
    <xf numFmtId="0" fontId="4" fillId="2" borderId="6"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0" borderId="0" xfId="0" applyFont="1" applyAlignment="1">
      <alignment vertical="center"/>
    </xf>
    <xf numFmtId="0" fontId="2" fillId="0" borderId="6" xfId="0" applyFont="1" applyBorder="1" applyAlignment="1">
      <alignment horizontal="left" vertical="center" wrapText="1" indent="1"/>
    </xf>
    <xf numFmtId="0" fontId="2" fillId="0" borderId="6" xfId="0" applyFont="1" applyBorder="1" applyAlignment="1">
      <alignment horizontal="left" vertical="center" indent="1"/>
    </xf>
    <xf numFmtId="0" fontId="4" fillId="3" borderId="6" xfId="0" applyFont="1" applyFill="1" applyBorder="1" applyAlignment="1">
      <alignment horizontal="left" vertical="center" wrapText="1" indent="1"/>
    </xf>
    <xf numFmtId="0" fontId="4" fillId="3" borderId="6" xfId="0" applyFont="1" applyFill="1" applyBorder="1" applyAlignment="1">
      <alignment horizontal="left" vertical="center" indent="1"/>
    </xf>
    <xf numFmtId="0" fontId="6" fillId="0" borderId="1" xfId="2" applyBorder="1" applyAlignment="1" applyProtection="1">
      <alignment horizontal="center" vertical="center" wrapText="1"/>
      <protection locked="0"/>
    </xf>
    <xf numFmtId="20" fontId="3" fillId="0" borderId="0" xfId="0" applyNumberFormat="1" applyFont="1" applyAlignment="1">
      <alignment vertical="center"/>
    </xf>
    <xf numFmtId="0" fontId="7" fillId="0" borderId="0" xfId="0" applyFont="1"/>
    <xf numFmtId="20" fontId="0" fillId="0" borderId="0" xfId="0" applyNumberFormat="1"/>
    <xf numFmtId="0" fontId="1" fillId="0" borderId="2" xfId="1" applyBorder="1" applyAlignment="1" applyProtection="1">
      <alignment horizontal="center" vertical="center" wrapText="1"/>
      <protection locked="0"/>
    </xf>
    <xf numFmtId="0" fontId="2" fillId="0" borderId="6"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3" fillId="0" borderId="7"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3" borderId="5"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protection locked="0"/>
    </xf>
    <xf numFmtId="14" fontId="3" fillId="0" borderId="7" xfId="0" applyNumberFormat="1" applyFont="1" applyBorder="1" applyAlignment="1" applyProtection="1">
      <alignment horizontal="center" vertical="center" wrapText="1"/>
      <protection locked="0"/>
    </xf>
    <xf numFmtId="0" fontId="4" fillId="2" borderId="5" xfId="0" applyFont="1" applyFill="1" applyBorder="1" applyAlignment="1">
      <alignment horizontal="right" vertical="center" wrapText="1"/>
    </xf>
    <xf numFmtId="0" fontId="4" fillId="2" borderId="4" xfId="0" applyFont="1" applyFill="1" applyBorder="1" applyAlignment="1">
      <alignment horizontal="right" vertical="center" wrapText="1"/>
    </xf>
  </cellXfs>
  <cellStyles count="3">
    <cellStyle name="Hyperlink" xfId="2" xr:uid="{00000000-000B-0000-0000-000008000000}"/>
    <cellStyle name="Lien hypertexte" xfId="1" builtinId="8"/>
    <cellStyle name="Normal" xfId="0" builtinId="0" customBuiltin="1"/>
  </cellStyles>
  <dxfs count="0"/>
  <tableStyles count="0" defaultTableStyle="TableStyleMedium9" defaultPivotStyle="PivotStyleLight16"/>
  <colors>
    <mruColors>
      <color rgb="FFFFFFCC"/>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usti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ustin">
      <a:maj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ustin">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prstMaterial="metal">
            <a:bevelT w="101600" h="25400" prst="softRound"/>
            <a:contourClr>
              <a:schemeClr val="phClr">
                <a:shade val="30000"/>
              </a:schemeClr>
            </a:contourClr>
          </a:sp3d>
        </a:effectStyle>
      </a:effectStyleLst>
      <a:bgFillStyleLst>
        <a:solidFill>
          <a:schemeClr val="phClr"/>
        </a:solidFill>
        <a:gradFill rotWithShape="1">
          <a:gsLst>
            <a:gs pos="0">
              <a:schemeClr val="phClr">
                <a:shade val="94000"/>
                <a:satMod val="114000"/>
                <a:lumMod val="96000"/>
              </a:schemeClr>
            </a:gs>
            <a:gs pos="62000">
              <a:schemeClr val="phClr">
                <a:tint val="92000"/>
                <a:shade val="66000"/>
                <a:satMod val="110000"/>
                <a:lumMod val="80000"/>
              </a:schemeClr>
            </a:gs>
            <a:gs pos="100000">
              <a:schemeClr val="phClr">
                <a:tint val="89000"/>
                <a:shade val="62000"/>
                <a:satMod val="110000"/>
                <a:lumMod val="72000"/>
              </a:schemeClr>
            </a:gs>
          </a:gsLst>
          <a:lin ang="5400000" scaled="0"/>
        </a:gradFill>
        <a:blipFill rotWithShape="1">
          <a:blip xmlns:r="http://schemas.openxmlformats.org/officeDocument/2006/relationships" r:embed="rId1">
            <a:duotone>
              <a:schemeClr val="phClr">
                <a:tint val="80000"/>
                <a:shade val="58000"/>
              </a:schemeClr>
              <a:schemeClr val="phClr">
                <a:tint val="73000"/>
                <a:shade val="68000"/>
                <a:satMod val="15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eka.ch/themes/ressources-humaines/contrats-de-travail-et-reglements/protection-des-donnees/article/donnees-rh-quels-sont-les-delais-de-conservation-des-donnees-des-collaborateu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9B11-3078-4C32-9318-C5231A58CF27}">
  <sheetPr>
    <pageSetUpPr fitToPage="1"/>
  </sheetPr>
  <dimension ref="A1:G80"/>
  <sheetViews>
    <sheetView tabSelected="1" view="pageBreakPreview" zoomScaleNormal="100" zoomScaleSheetLayoutView="100" workbookViewId="0">
      <pane xSplit="3" ySplit="5" topLeftCell="D13" activePane="bottomRight" state="frozen"/>
      <selection pane="topRight" activeCell="D1" sqref="D1"/>
      <selection pane="bottomLeft" activeCell="A2" sqref="A2"/>
      <selection pane="bottomRight" activeCell="C25" sqref="C25"/>
    </sheetView>
  </sheetViews>
  <sheetFormatPr baseColWidth="10" defaultColWidth="11.42578125" defaultRowHeight="13.5" x14ac:dyDescent="0.25"/>
  <cols>
    <col min="1" max="1" width="26.7109375" style="1" customWidth="1"/>
    <col min="2" max="3" width="14.7109375" style="1" customWidth="1"/>
    <col min="4" max="4" width="80.7109375" style="1" customWidth="1"/>
    <col min="5" max="5" width="50.7109375" style="1" customWidth="1"/>
    <col min="6" max="6" width="19.5703125" style="1" customWidth="1"/>
    <col min="7" max="7" width="36" style="1" customWidth="1"/>
    <col min="8" max="16384" width="11.42578125" style="1"/>
  </cols>
  <sheetData>
    <row r="1" spans="1:7" ht="21" customHeight="1" x14ac:dyDescent="0.25">
      <c r="A1" s="21" t="s">
        <v>0</v>
      </c>
      <c r="B1" s="28" t="s">
        <v>15</v>
      </c>
      <c r="C1" s="28"/>
      <c r="D1" s="22" t="s">
        <v>1</v>
      </c>
      <c r="E1" s="20" t="s">
        <v>33</v>
      </c>
    </row>
    <row r="2" spans="1:7" ht="21" customHeight="1" thickBot="1" x14ac:dyDescent="0.3">
      <c r="A2" s="21" t="s">
        <v>2</v>
      </c>
      <c r="B2" s="28" t="s">
        <v>16</v>
      </c>
      <c r="C2" s="28"/>
      <c r="D2" s="22" t="s">
        <v>3</v>
      </c>
      <c r="E2" s="20" t="s">
        <v>34</v>
      </c>
    </row>
    <row r="3" spans="1:7" ht="21" customHeight="1" x14ac:dyDescent="0.25">
      <c r="A3" s="21" t="s">
        <v>4</v>
      </c>
      <c r="B3" s="28" t="s">
        <v>17</v>
      </c>
      <c r="C3" s="28"/>
      <c r="D3" s="22" t="s">
        <v>5</v>
      </c>
      <c r="E3" s="19" t="s">
        <v>35</v>
      </c>
    </row>
    <row r="4" spans="1:7" ht="21" customHeight="1" x14ac:dyDescent="0.25">
      <c r="A4" s="21" t="s">
        <v>6</v>
      </c>
      <c r="B4" s="29" t="s">
        <v>36</v>
      </c>
      <c r="C4" s="30"/>
      <c r="D4" s="30"/>
      <c r="E4" s="31"/>
    </row>
    <row r="5" spans="1:7" ht="21" customHeight="1" thickBot="1" x14ac:dyDescent="0.3">
      <c r="A5" s="2" t="s">
        <v>7</v>
      </c>
      <c r="B5" s="3" t="s">
        <v>8</v>
      </c>
      <c r="C5" s="3" t="s">
        <v>9</v>
      </c>
      <c r="D5" s="2" t="s">
        <v>10</v>
      </c>
      <c r="E5" s="2" t="s">
        <v>11</v>
      </c>
    </row>
    <row r="6" spans="1:7" ht="18" customHeight="1" x14ac:dyDescent="0.25">
      <c r="A6" s="4" t="s">
        <v>18</v>
      </c>
      <c r="B6" s="38">
        <v>46139</v>
      </c>
      <c r="C6" s="5">
        <v>20</v>
      </c>
      <c r="D6" s="6"/>
      <c r="E6" s="23"/>
    </row>
    <row r="7" spans="1:7" ht="18" customHeight="1" x14ac:dyDescent="0.25">
      <c r="A7" s="7" t="s">
        <v>19</v>
      </c>
      <c r="B7" s="33"/>
      <c r="C7" s="8">
        <v>30</v>
      </c>
      <c r="D7" s="9" t="s">
        <v>37</v>
      </c>
      <c r="E7" s="8"/>
    </row>
    <row r="8" spans="1:7" ht="18" customHeight="1" x14ac:dyDescent="0.25">
      <c r="A8" s="7" t="s">
        <v>20</v>
      </c>
      <c r="B8" s="33"/>
      <c r="C8" s="8">
        <v>30</v>
      </c>
      <c r="D8" s="9"/>
      <c r="E8" s="8" t="s">
        <v>41</v>
      </c>
    </row>
    <row r="9" spans="1:7" ht="18" customHeight="1" x14ac:dyDescent="0.25">
      <c r="A9" s="7" t="s">
        <v>20</v>
      </c>
      <c r="B9" s="33"/>
      <c r="C9" s="8">
        <v>10</v>
      </c>
      <c r="D9" s="9"/>
      <c r="E9" s="8"/>
    </row>
    <row r="10" spans="1:7" ht="18" customHeight="1" x14ac:dyDescent="0.25">
      <c r="A10" s="7" t="s">
        <v>20</v>
      </c>
      <c r="B10" s="33"/>
      <c r="C10" s="10">
        <v>20</v>
      </c>
      <c r="D10" s="11"/>
      <c r="E10" s="10"/>
      <c r="F10" s="24"/>
      <c r="G10" s="24"/>
    </row>
    <row r="11" spans="1:7" ht="18" customHeight="1" x14ac:dyDescent="0.25">
      <c r="A11" s="7" t="s">
        <v>20</v>
      </c>
      <c r="B11" s="33"/>
      <c r="C11" s="10">
        <v>20</v>
      </c>
      <c r="D11" s="11" t="s">
        <v>39</v>
      </c>
      <c r="E11" s="10"/>
      <c r="F11" s="24"/>
      <c r="G11" s="24"/>
    </row>
    <row r="12" spans="1:7" x14ac:dyDescent="0.25">
      <c r="A12" s="7" t="s">
        <v>38</v>
      </c>
      <c r="B12" s="33"/>
      <c r="C12" s="10">
        <v>60</v>
      </c>
      <c r="D12" s="11" t="s">
        <v>40</v>
      </c>
      <c r="E12" s="10"/>
      <c r="F12" s="24"/>
      <c r="G12" s="24"/>
    </row>
    <row r="13" spans="1:7" ht="40.5" x14ac:dyDescent="0.25">
      <c r="A13" s="7" t="s">
        <v>43</v>
      </c>
      <c r="B13" s="33"/>
      <c r="C13" s="10">
        <v>10</v>
      </c>
      <c r="D13" s="11" t="s">
        <v>44</v>
      </c>
      <c r="E13" s="10"/>
      <c r="F13" s="24"/>
      <c r="G13" s="24"/>
    </row>
    <row r="14" spans="1:7" ht="27" x14ac:dyDescent="0.25">
      <c r="A14" s="7" t="s">
        <v>45</v>
      </c>
      <c r="B14" s="33"/>
      <c r="C14" s="10">
        <v>60</v>
      </c>
      <c r="D14" s="11" t="s">
        <v>46</v>
      </c>
      <c r="E14" s="10"/>
      <c r="F14" s="24"/>
      <c r="G14" s="24"/>
    </row>
    <row r="15" spans="1:7" ht="40.5" x14ac:dyDescent="0.25">
      <c r="A15" s="7" t="s">
        <v>38</v>
      </c>
      <c r="B15" s="33"/>
      <c r="C15" s="10">
        <v>40</v>
      </c>
      <c r="D15" s="11" t="s">
        <v>42</v>
      </c>
      <c r="E15" s="10"/>
      <c r="F15" s="24"/>
      <c r="G15" s="24"/>
    </row>
    <row r="16" spans="1:7" x14ac:dyDescent="0.25">
      <c r="A16" s="7" t="s">
        <v>45</v>
      </c>
      <c r="B16" s="33"/>
      <c r="C16" s="10">
        <v>20</v>
      </c>
      <c r="D16" s="11" t="s">
        <v>47</v>
      </c>
      <c r="E16" s="10"/>
      <c r="F16" s="24"/>
      <c r="G16" s="24"/>
    </row>
    <row r="17" spans="1:7" ht="14.25" thickBot="1" x14ac:dyDescent="0.3">
      <c r="A17" s="7"/>
      <c r="B17" s="34"/>
      <c r="C17" s="10"/>
      <c r="D17" s="11"/>
      <c r="E17" s="10"/>
    </row>
    <row r="18" spans="1:7" ht="18" customHeight="1" thickBot="1" x14ac:dyDescent="0.3">
      <c r="A18" s="12" t="s">
        <v>12</v>
      </c>
      <c r="B18" s="35" t="str">
        <f>INT(SUM(C6:C17)/60)&amp;"h"&amp;MOD(SUM(C6:C17),60)</f>
        <v>5h20</v>
      </c>
      <c r="C18" s="36"/>
      <c r="D18" s="36"/>
      <c r="E18" s="37"/>
    </row>
    <row r="19" spans="1:7" ht="18" customHeight="1" x14ac:dyDescent="0.25">
      <c r="A19" s="4" t="s">
        <v>20</v>
      </c>
      <c r="B19" s="38">
        <v>46141</v>
      </c>
      <c r="C19" s="5">
        <v>40</v>
      </c>
      <c r="D19" s="6" t="s">
        <v>48</v>
      </c>
      <c r="E19" s="5"/>
    </row>
    <row r="20" spans="1:7" ht="27" x14ac:dyDescent="0.25">
      <c r="A20" s="7" t="s">
        <v>45</v>
      </c>
      <c r="B20" s="33"/>
      <c r="C20" s="8">
        <v>55</v>
      </c>
      <c r="D20" s="9" t="s">
        <v>49</v>
      </c>
      <c r="E20" s="8"/>
    </row>
    <row r="21" spans="1:7" ht="18" customHeight="1" x14ac:dyDescent="0.2">
      <c r="A21" s="7" t="s">
        <v>45</v>
      </c>
      <c r="B21" s="33"/>
      <c r="C21" s="8">
        <v>40</v>
      </c>
      <c r="D21" s="9" t="s">
        <v>50</v>
      </c>
      <c r="E21" s="8"/>
      <c r="G21" s="25"/>
    </row>
    <row r="22" spans="1:7" ht="18" customHeight="1" x14ac:dyDescent="0.25">
      <c r="A22" s="7" t="s">
        <v>45</v>
      </c>
      <c r="B22" s="33"/>
      <c r="C22" s="8">
        <v>45</v>
      </c>
      <c r="D22" s="9" t="s">
        <v>51</v>
      </c>
      <c r="E22" s="8"/>
    </row>
    <row r="23" spans="1:7" ht="27" x14ac:dyDescent="0.25">
      <c r="A23" s="10" t="s">
        <v>52</v>
      </c>
      <c r="B23" s="33"/>
      <c r="C23" s="10">
        <v>60</v>
      </c>
      <c r="D23" s="11" t="s">
        <v>53</v>
      </c>
      <c r="E23" s="10"/>
    </row>
    <row r="24" spans="1:7" x14ac:dyDescent="0.25">
      <c r="A24" s="10" t="s">
        <v>52</v>
      </c>
      <c r="B24" s="33"/>
      <c r="C24" s="10">
        <v>60</v>
      </c>
      <c r="D24" s="11" t="s">
        <v>54</v>
      </c>
      <c r="E24" s="10"/>
    </row>
    <row r="25" spans="1:7" ht="40.5" x14ac:dyDescent="0.25">
      <c r="A25" s="10" t="s">
        <v>52</v>
      </c>
      <c r="B25" s="33"/>
      <c r="C25" s="10">
        <v>30</v>
      </c>
      <c r="D25" s="11" t="s">
        <v>55</v>
      </c>
      <c r="E25" s="10"/>
    </row>
    <row r="26" spans="1:7" x14ac:dyDescent="0.25">
      <c r="A26" s="10" t="s">
        <v>56</v>
      </c>
      <c r="B26" s="33"/>
      <c r="C26" s="10">
        <v>60</v>
      </c>
      <c r="D26" s="11" t="s">
        <v>57</v>
      </c>
      <c r="E26" s="10"/>
    </row>
    <row r="27" spans="1:7" ht="27.75" thickBot="1" x14ac:dyDescent="0.3">
      <c r="A27" s="10" t="s">
        <v>58</v>
      </c>
      <c r="B27" s="34"/>
      <c r="C27" s="10">
        <v>40</v>
      </c>
      <c r="D27" s="11" t="s">
        <v>59</v>
      </c>
      <c r="E27" s="10"/>
    </row>
    <row r="28" spans="1:7" ht="18" customHeight="1" thickBot="1" x14ac:dyDescent="0.3">
      <c r="A28" s="12" t="s">
        <v>12</v>
      </c>
      <c r="B28" s="35" t="str">
        <f>INT(SUM(C19:C27)/60)&amp;"h"&amp;MOD(SUM(C19:C27),60)</f>
        <v>7h10</v>
      </c>
      <c r="C28" s="36"/>
      <c r="D28" s="36"/>
      <c r="E28" s="37"/>
    </row>
    <row r="29" spans="1:7" ht="18" customHeight="1" x14ac:dyDescent="0.25">
      <c r="A29" s="4" t="s">
        <v>60</v>
      </c>
      <c r="B29" s="38">
        <v>46142</v>
      </c>
      <c r="C29" s="5">
        <v>60</v>
      </c>
      <c r="D29" s="6" t="s">
        <v>61</v>
      </c>
      <c r="E29" s="5"/>
    </row>
    <row r="30" spans="1:7" ht="54" x14ac:dyDescent="0.25">
      <c r="A30" s="7" t="s">
        <v>62</v>
      </c>
      <c r="B30" s="33"/>
      <c r="C30" s="8">
        <v>60</v>
      </c>
      <c r="D30" s="9" t="s">
        <v>63</v>
      </c>
      <c r="E30" s="27" t="s">
        <v>64</v>
      </c>
    </row>
    <row r="31" spans="1:7" ht="27" x14ac:dyDescent="0.25">
      <c r="A31" s="7" t="s">
        <v>38</v>
      </c>
      <c r="B31" s="33"/>
      <c r="C31" s="8">
        <v>70</v>
      </c>
      <c r="D31" s="9" t="s">
        <v>65</v>
      </c>
      <c r="E31" s="8"/>
    </row>
    <row r="32" spans="1:7" ht="18" customHeight="1" x14ac:dyDescent="0.25">
      <c r="A32" s="7"/>
      <c r="B32" s="33"/>
      <c r="C32" s="8"/>
      <c r="D32" s="9"/>
      <c r="E32" s="8"/>
    </row>
    <row r="33" spans="1:5" ht="18" customHeight="1" thickBot="1" x14ac:dyDescent="0.3">
      <c r="A33" s="10"/>
      <c r="B33" s="34"/>
      <c r="C33" s="10"/>
      <c r="D33" s="11"/>
      <c r="E33" s="10"/>
    </row>
    <row r="34" spans="1:5" ht="18" customHeight="1" thickBot="1" x14ac:dyDescent="0.3">
      <c r="A34" s="12" t="s">
        <v>12</v>
      </c>
      <c r="B34" s="35" t="str">
        <f>INT(SUM(C29:C33)/60)&amp;"h"&amp;MOD(SUM(C29:C33),60)</f>
        <v>3h10</v>
      </c>
      <c r="C34" s="36"/>
      <c r="D34" s="36"/>
      <c r="E34" s="37"/>
    </row>
    <row r="35" spans="1:5" ht="40.5" x14ac:dyDescent="0.25">
      <c r="A35" s="4" t="s">
        <v>38</v>
      </c>
      <c r="B35" s="38">
        <v>46143</v>
      </c>
      <c r="C35" s="5">
        <v>60</v>
      </c>
      <c r="D35" s="6" t="s">
        <v>66</v>
      </c>
      <c r="E35" s="5"/>
    </row>
    <row r="36" spans="1:5" ht="18" customHeight="1" x14ac:dyDescent="0.25">
      <c r="A36" s="7" t="s">
        <v>38</v>
      </c>
      <c r="B36" s="33"/>
      <c r="C36" s="8">
        <v>35</v>
      </c>
      <c r="D36" s="9" t="s">
        <v>67</v>
      </c>
      <c r="E36" s="8"/>
    </row>
    <row r="37" spans="1:5" ht="18" customHeight="1" x14ac:dyDescent="0.25">
      <c r="A37" s="7" t="s">
        <v>38</v>
      </c>
      <c r="B37" s="33"/>
      <c r="C37" s="8">
        <v>60</v>
      </c>
      <c r="D37" s="9" t="s">
        <v>68</v>
      </c>
      <c r="E37" s="8"/>
    </row>
    <row r="38" spans="1:5" ht="27" x14ac:dyDescent="0.25">
      <c r="A38" s="7" t="s">
        <v>38</v>
      </c>
      <c r="B38" s="33"/>
      <c r="C38" s="8">
        <v>30</v>
      </c>
      <c r="D38" s="9" t="s">
        <v>69</v>
      </c>
      <c r="E38" s="8" t="s">
        <v>70</v>
      </c>
    </row>
    <row r="39" spans="1:5" ht="18" customHeight="1" thickBot="1" x14ac:dyDescent="0.3">
      <c r="A39" s="10"/>
      <c r="B39" s="34"/>
      <c r="C39" s="10"/>
      <c r="D39" s="11"/>
      <c r="E39" s="10"/>
    </row>
    <row r="40" spans="1:5" ht="18" customHeight="1" thickBot="1" x14ac:dyDescent="0.3">
      <c r="A40" s="12" t="s">
        <v>12</v>
      </c>
      <c r="B40" s="35" t="str">
        <f>INT(SUM(C35:C39)/60)&amp;"h"&amp;MOD(SUM(C35:C39),60)</f>
        <v>3h5</v>
      </c>
      <c r="C40" s="36"/>
      <c r="D40" s="36"/>
      <c r="E40" s="37"/>
    </row>
    <row r="41" spans="1:5" ht="18" customHeight="1" x14ac:dyDescent="0.25">
      <c r="A41" s="13"/>
      <c r="B41" s="32"/>
      <c r="C41" s="13"/>
      <c r="D41" s="14"/>
      <c r="E41" s="13"/>
    </row>
    <row r="42" spans="1:5" ht="18" customHeight="1" x14ac:dyDescent="0.25">
      <c r="A42" s="8"/>
      <c r="B42" s="33"/>
      <c r="C42" s="8"/>
      <c r="D42" s="9"/>
      <c r="E42" s="8"/>
    </row>
    <row r="43" spans="1:5" ht="18" customHeight="1" x14ac:dyDescent="0.25">
      <c r="A43" s="8"/>
      <c r="B43" s="33"/>
      <c r="C43" s="8"/>
      <c r="D43" s="9"/>
      <c r="E43" s="8"/>
    </row>
    <row r="44" spans="1:5" ht="18" customHeight="1" x14ac:dyDescent="0.25">
      <c r="A44" s="8"/>
      <c r="B44" s="33"/>
      <c r="C44" s="8"/>
      <c r="D44" s="9"/>
      <c r="E44" s="8"/>
    </row>
    <row r="45" spans="1:5" ht="18" customHeight="1" thickBot="1" x14ac:dyDescent="0.3">
      <c r="A45" s="8"/>
      <c r="B45" s="34"/>
      <c r="C45" s="8"/>
      <c r="D45" s="9"/>
      <c r="E45" s="8"/>
    </row>
    <row r="46" spans="1:5" ht="18" customHeight="1" thickBot="1" x14ac:dyDescent="0.3">
      <c r="A46" s="12" t="s">
        <v>12</v>
      </c>
      <c r="B46" s="35"/>
      <c r="C46" s="36"/>
      <c r="D46" s="36"/>
      <c r="E46" s="37"/>
    </row>
    <row r="47" spans="1:5" ht="18" customHeight="1" x14ac:dyDescent="0.25">
      <c r="A47" s="4"/>
      <c r="B47" s="38"/>
      <c r="C47" s="5"/>
      <c r="D47" s="6"/>
      <c r="E47" s="5"/>
    </row>
    <row r="48" spans="1:5" ht="18" customHeight="1" x14ac:dyDescent="0.25">
      <c r="A48" s="7"/>
      <c r="B48" s="33"/>
      <c r="C48" s="8"/>
      <c r="D48" s="9"/>
      <c r="E48" s="8"/>
    </row>
    <row r="49" spans="1:5" ht="18" customHeight="1" x14ac:dyDescent="0.25">
      <c r="A49" s="7"/>
      <c r="B49" s="33"/>
      <c r="C49" s="8"/>
      <c r="D49" s="9"/>
      <c r="E49" s="8"/>
    </row>
    <row r="50" spans="1:5" ht="18" customHeight="1" x14ac:dyDescent="0.25">
      <c r="A50" s="7"/>
      <c r="B50" s="33"/>
      <c r="C50" s="8"/>
      <c r="D50" s="9"/>
      <c r="E50" s="8"/>
    </row>
    <row r="51" spans="1:5" ht="18" customHeight="1" thickBot="1" x14ac:dyDescent="0.3">
      <c r="A51" s="10"/>
      <c r="B51" s="34"/>
      <c r="C51" s="10"/>
      <c r="D51" s="11"/>
      <c r="E51" s="10"/>
    </row>
    <row r="52" spans="1:5" ht="18" customHeight="1" thickBot="1" x14ac:dyDescent="0.3">
      <c r="A52" s="12" t="s">
        <v>12</v>
      </c>
      <c r="B52" s="35"/>
      <c r="C52" s="36"/>
      <c r="D52" s="36"/>
      <c r="E52" s="37"/>
    </row>
    <row r="53" spans="1:5" ht="18" customHeight="1" x14ac:dyDescent="0.25">
      <c r="A53" s="4"/>
      <c r="B53" s="32"/>
      <c r="C53" s="5"/>
      <c r="D53" s="6"/>
      <c r="E53" s="5"/>
    </row>
    <row r="54" spans="1:5" ht="18" customHeight="1" x14ac:dyDescent="0.25">
      <c r="A54" s="7"/>
      <c r="B54" s="33"/>
      <c r="C54" s="8"/>
      <c r="D54" s="9"/>
      <c r="E54" s="8"/>
    </row>
    <row r="55" spans="1:5" ht="18" customHeight="1" x14ac:dyDescent="0.25">
      <c r="A55" s="7"/>
      <c r="B55" s="33"/>
      <c r="C55" s="8"/>
      <c r="D55" s="9"/>
      <c r="E55" s="8"/>
    </row>
    <row r="56" spans="1:5" ht="18" customHeight="1" x14ac:dyDescent="0.25">
      <c r="A56" s="7"/>
      <c r="B56" s="33"/>
      <c r="C56" s="8"/>
      <c r="D56" s="9"/>
      <c r="E56" s="8"/>
    </row>
    <row r="57" spans="1:5" ht="18" customHeight="1" thickBot="1" x14ac:dyDescent="0.3">
      <c r="A57" s="10"/>
      <c r="B57" s="34"/>
      <c r="C57" s="10"/>
      <c r="D57" s="11"/>
      <c r="E57" s="10"/>
    </row>
    <row r="58" spans="1:5" ht="18" customHeight="1" thickBot="1" x14ac:dyDescent="0.3">
      <c r="A58" s="12" t="s">
        <v>12</v>
      </c>
      <c r="B58" s="35"/>
      <c r="C58" s="36"/>
      <c r="D58" s="36"/>
      <c r="E58" s="37"/>
    </row>
    <row r="59" spans="1:5" ht="18" customHeight="1" x14ac:dyDescent="0.25">
      <c r="A59" s="4"/>
      <c r="B59" s="32"/>
      <c r="C59" s="5"/>
      <c r="D59" s="6"/>
      <c r="E59" s="5"/>
    </row>
    <row r="60" spans="1:5" ht="18" customHeight="1" x14ac:dyDescent="0.25">
      <c r="A60" s="7"/>
      <c r="B60" s="33"/>
      <c r="C60" s="8"/>
      <c r="D60" s="9"/>
      <c r="E60" s="8"/>
    </row>
    <row r="61" spans="1:5" ht="18" customHeight="1" x14ac:dyDescent="0.25">
      <c r="A61" s="7"/>
      <c r="B61" s="33"/>
      <c r="C61" s="8"/>
      <c r="D61" s="9"/>
      <c r="E61" s="8"/>
    </row>
    <row r="62" spans="1:5" ht="18" customHeight="1" x14ac:dyDescent="0.25">
      <c r="A62" s="7"/>
      <c r="B62" s="33"/>
      <c r="C62" s="8"/>
      <c r="D62" s="9"/>
      <c r="E62" s="8"/>
    </row>
    <row r="63" spans="1:5" ht="18" customHeight="1" thickBot="1" x14ac:dyDescent="0.3">
      <c r="A63" s="10"/>
      <c r="B63" s="34"/>
      <c r="C63" s="10"/>
      <c r="D63" s="11"/>
      <c r="E63" s="10"/>
    </row>
    <row r="64" spans="1:5" ht="18" customHeight="1" thickBot="1" x14ac:dyDescent="0.3">
      <c r="A64" s="12" t="s">
        <v>12</v>
      </c>
      <c r="B64" s="35"/>
      <c r="C64" s="36"/>
      <c r="D64" s="36"/>
      <c r="E64" s="37"/>
    </row>
    <row r="65" spans="1:5" ht="18" customHeight="1" x14ac:dyDescent="0.25">
      <c r="A65" s="4"/>
      <c r="B65" s="32"/>
      <c r="C65" s="5"/>
      <c r="D65" s="6"/>
      <c r="E65" s="5"/>
    </row>
    <row r="66" spans="1:5" ht="18" customHeight="1" x14ac:dyDescent="0.25">
      <c r="A66" s="7"/>
      <c r="B66" s="33"/>
      <c r="C66" s="8"/>
      <c r="D66" s="9"/>
      <c r="E66" s="8"/>
    </row>
    <row r="67" spans="1:5" ht="18" customHeight="1" x14ac:dyDescent="0.25">
      <c r="A67" s="7"/>
      <c r="B67" s="33"/>
      <c r="C67" s="8"/>
      <c r="D67" s="9"/>
      <c r="E67" s="8"/>
    </row>
    <row r="68" spans="1:5" ht="18" customHeight="1" x14ac:dyDescent="0.25">
      <c r="A68" s="7"/>
      <c r="B68" s="33"/>
      <c r="C68" s="8"/>
      <c r="D68" s="9"/>
      <c r="E68" s="8"/>
    </row>
    <row r="69" spans="1:5" ht="18" customHeight="1" thickBot="1" x14ac:dyDescent="0.3">
      <c r="A69" s="10"/>
      <c r="B69" s="34"/>
      <c r="C69" s="10"/>
      <c r="D69" s="11"/>
      <c r="E69" s="10"/>
    </row>
    <row r="70" spans="1:5" ht="18" customHeight="1" thickBot="1" x14ac:dyDescent="0.3">
      <c r="A70" s="12" t="s">
        <v>12</v>
      </c>
      <c r="B70" s="35"/>
      <c r="C70" s="36"/>
      <c r="D70" s="36"/>
      <c r="E70" s="37"/>
    </row>
    <row r="71" spans="1:5" ht="18" customHeight="1" x14ac:dyDescent="0.25">
      <c r="A71" s="13"/>
      <c r="B71" s="32"/>
      <c r="C71" s="13"/>
      <c r="D71" s="14"/>
      <c r="E71" s="13"/>
    </row>
    <row r="72" spans="1:5" ht="18" customHeight="1" x14ac:dyDescent="0.25">
      <c r="A72" s="8"/>
      <c r="B72" s="33"/>
      <c r="C72" s="8"/>
      <c r="D72" s="9"/>
      <c r="E72" s="8"/>
    </row>
    <row r="73" spans="1:5" ht="18" customHeight="1" x14ac:dyDescent="0.25">
      <c r="A73" s="8"/>
      <c r="B73" s="33"/>
      <c r="C73" s="8"/>
      <c r="D73" s="9"/>
      <c r="E73" s="8"/>
    </row>
    <row r="74" spans="1:5" ht="18" customHeight="1" x14ac:dyDescent="0.25">
      <c r="A74" s="8"/>
      <c r="B74" s="33"/>
      <c r="C74" s="8"/>
      <c r="D74" s="9"/>
      <c r="E74" s="8"/>
    </row>
    <row r="75" spans="1:5" ht="18" customHeight="1" thickBot="1" x14ac:dyDescent="0.3">
      <c r="A75" s="8"/>
      <c r="B75" s="34"/>
      <c r="C75" s="8"/>
      <c r="D75" s="9"/>
      <c r="E75" s="8"/>
    </row>
    <row r="76" spans="1:5" ht="18" customHeight="1" thickBot="1" x14ac:dyDescent="0.3">
      <c r="A76" s="12" t="s">
        <v>12</v>
      </c>
      <c r="B76" s="35"/>
      <c r="C76" s="36"/>
      <c r="D76" s="36"/>
      <c r="E76" s="37"/>
    </row>
    <row r="77" spans="1:5" ht="21" customHeight="1" thickBot="1" x14ac:dyDescent="0.3">
      <c r="A77" s="39" t="s">
        <v>13</v>
      </c>
      <c r="B77" s="40"/>
      <c r="C77" s="15">
        <f>MROUND(SUM(C6:C76) /60,0.2)</f>
        <v>18.8</v>
      </c>
      <c r="D77" s="16"/>
      <c r="E77" s="17"/>
    </row>
    <row r="79" spans="1:5" x14ac:dyDescent="0.25">
      <c r="A79" s="18" t="s">
        <v>14</v>
      </c>
    </row>
    <row r="80" spans="1:5" x14ac:dyDescent="0.25">
      <c r="A80" s="18"/>
    </row>
  </sheetData>
  <mergeCells count="25">
    <mergeCell ref="B47:B51"/>
    <mergeCell ref="B76:E76"/>
    <mergeCell ref="A77:B77"/>
    <mergeCell ref="B53:B57"/>
    <mergeCell ref="B58:E58"/>
    <mergeCell ref="B59:B63"/>
    <mergeCell ref="B64:E64"/>
    <mergeCell ref="B65:B69"/>
    <mergeCell ref="B70:E70"/>
    <mergeCell ref="B1:C1"/>
    <mergeCell ref="B2:C2"/>
    <mergeCell ref="B3:C3"/>
    <mergeCell ref="B4:E4"/>
    <mergeCell ref="B71:B75"/>
    <mergeCell ref="B52:E52"/>
    <mergeCell ref="B6:B17"/>
    <mergeCell ref="B18:E18"/>
    <mergeCell ref="B19:B27"/>
    <mergeCell ref="B28:E28"/>
    <mergeCell ref="B29:B33"/>
    <mergeCell ref="B34:E34"/>
    <mergeCell ref="B35:B39"/>
    <mergeCell ref="B40:E40"/>
    <mergeCell ref="B41:B45"/>
    <mergeCell ref="B46:E46"/>
  </mergeCells>
  <dataValidations count="2">
    <dataValidation type="whole" operator="greaterThan" allowBlank="1" showInputMessage="1" showErrorMessage="1" errorTitle="Durée par tranche de 10min" error="Le nombre doit être de type entier" sqref="C65:C69 C59:C63 C47:C51 C53:C57 C29:C33 B6 C6:C17 C35:C39 C41:C45 C71:C75 C19:C27" xr:uid="{345ABA8F-B69F-4AFC-9D0E-D2AB0ACDE277}">
      <formula1>0</formula1>
    </dataValidation>
    <dataValidation type="date" operator="greaterThan" allowBlank="1" showInputMessage="1" showErrorMessage="1" errorTitle="Durée par tranche de 10min" error="Le nombre doit être de type entier" sqref="B19:B27 B29:B33 B35:B39 B41:B45 B47:B51 B53:B57 B59:B63 B65:B69 B71:B75" xr:uid="{7694F886-C01B-440C-B6C8-5FF698F43C26}">
      <formula1>45261</formula1>
    </dataValidation>
  </dataValidations>
  <hyperlinks>
    <hyperlink ref="E30" r:id="rId1" xr:uid="{F187DE9B-B8D0-41A3-8491-0AAD2D53ABFB}"/>
  </hyperlinks>
  <printOptions horizontalCentered="1"/>
  <pageMargins left="0.51181102362204722" right="0.51181102362204722" top="0.74803149606299213" bottom="0.74803149606299213" header="0.31496062992125984" footer="0.31496062992125984"/>
  <pageSetup paperSize="9" scale="47" orientation="portrait" r:id="rId2"/>
  <headerFooter>
    <oddHeader>&amp;L&amp;"Etml_font,Normal"&amp;22ETML&amp;R&amp;G</oddHeader>
    <oddFooter>&amp;L&amp;14&amp;D&amp;R&amp;14Journal</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320A-3DEF-4FFB-92B3-3073BCAD0028}">
  <dimension ref="C5:I20"/>
  <sheetViews>
    <sheetView workbookViewId="0">
      <selection activeCell="E17" sqref="E17"/>
    </sheetView>
  </sheetViews>
  <sheetFormatPr baseColWidth="10" defaultRowHeight="13.5" x14ac:dyDescent="0.25"/>
  <cols>
    <col min="6" max="6" width="17" bestFit="1" customWidth="1"/>
    <col min="9" max="9" width="16.28515625" bestFit="1" customWidth="1"/>
  </cols>
  <sheetData>
    <row r="5" spans="3:9" x14ac:dyDescent="0.25">
      <c r="D5" t="s">
        <v>21</v>
      </c>
      <c r="E5" t="s">
        <v>22</v>
      </c>
      <c r="F5" t="s">
        <v>23</v>
      </c>
      <c r="G5" t="s">
        <v>24</v>
      </c>
      <c r="H5" t="s">
        <v>25</v>
      </c>
      <c r="I5" t="s">
        <v>26</v>
      </c>
    </row>
    <row r="6" spans="3:9" x14ac:dyDescent="0.25">
      <c r="C6" t="s">
        <v>27</v>
      </c>
      <c r="D6" s="26">
        <v>0.33333333333333331</v>
      </c>
      <c r="E6" s="26">
        <v>0.47569444444444442</v>
      </c>
      <c r="F6" s="26">
        <v>0.51388888888888884</v>
      </c>
      <c r="G6" s="26">
        <v>0.61458333333333337</v>
      </c>
      <c r="H6" s="26">
        <v>2.0833333333333332E-2</v>
      </c>
      <c r="I6" s="26">
        <v>0.22222222222222221</v>
      </c>
    </row>
    <row r="7" spans="3:9" x14ac:dyDescent="0.25">
      <c r="C7" t="s">
        <v>28</v>
      </c>
      <c r="D7" s="26">
        <v>0</v>
      </c>
      <c r="E7" s="26">
        <v>0</v>
      </c>
      <c r="F7" s="26">
        <v>0</v>
      </c>
      <c r="G7" s="26">
        <v>0</v>
      </c>
      <c r="H7" s="26">
        <v>0</v>
      </c>
      <c r="I7" s="26">
        <v>0</v>
      </c>
    </row>
    <row r="8" spans="3:9" x14ac:dyDescent="0.25">
      <c r="C8" t="s">
        <v>29</v>
      </c>
      <c r="D8" s="26">
        <v>0.33333333333333331</v>
      </c>
      <c r="E8" s="26">
        <v>0.51041666666666663</v>
      </c>
      <c r="F8" s="26">
        <v>0.54861111111111116</v>
      </c>
      <c r="G8" s="26">
        <v>0.69097222222222221</v>
      </c>
      <c r="H8" s="26">
        <v>2.0833333333333332E-2</v>
      </c>
      <c r="I8" s="26">
        <v>0.2986111111111111</v>
      </c>
    </row>
    <row r="9" spans="3:9" x14ac:dyDescent="0.25">
      <c r="C9" t="s">
        <v>30</v>
      </c>
      <c r="D9" s="26">
        <v>0</v>
      </c>
      <c r="E9" s="26">
        <v>0</v>
      </c>
      <c r="F9" s="26">
        <v>0.54861111111111116</v>
      </c>
      <c r="G9" s="26">
        <v>0.69097222222222221</v>
      </c>
      <c r="H9" s="26">
        <v>1.0416666666666666E-2</v>
      </c>
      <c r="I9" s="26">
        <f>G9-F9-H9</f>
        <v>0.13194444444444439</v>
      </c>
    </row>
    <row r="10" spans="3:9" x14ac:dyDescent="0.25">
      <c r="C10" t="s">
        <v>31</v>
      </c>
      <c r="D10" s="26">
        <v>0.33333333333333331</v>
      </c>
      <c r="E10" s="26">
        <v>0.51041666666666663</v>
      </c>
      <c r="F10" s="26">
        <v>0.54861111111111116</v>
      </c>
      <c r="G10" s="26">
        <v>0.69097222222222221</v>
      </c>
      <c r="H10" s="26">
        <v>2.0833333333333332E-2</v>
      </c>
      <c r="I10" s="26">
        <v>0.2986111111111111</v>
      </c>
    </row>
    <row r="12" spans="3:9" x14ac:dyDescent="0.25">
      <c r="H12" t="s">
        <v>32</v>
      </c>
      <c r="I12" s="26">
        <v>0.95138888888888884</v>
      </c>
    </row>
    <row r="16" spans="3:9" x14ac:dyDescent="0.25">
      <c r="E16" s="26">
        <f>E10-D10-(H10/2)</f>
        <v>0.16666666666666666</v>
      </c>
    </row>
    <row r="19" spans="5:5" x14ac:dyDescent="0.25">
      <c r="E19" s="26"/>
    </row>
    <row r="20" spans="5:5" x14ac:dyDescent="0.25">
      <c r="E20" s="2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B99F57F4D89D439F52EDCD0CED316B" ma:contentTypeVersion="7" ma:contentTypeDescription="Crée un document." ma:contentTypeScope="" ma:versionID="d33ce6f53f467230af3a4d19e3409e37">
  <xsd:schema xmlns:xsd="http://www.w3.org/2001/XMLSchema" xmlns:xs="http://www.w3.org/2001/XMLSchema" xmlns:p="http://schemas.microsoft.com/office/2006/metadata/properties" xmlns:ns2="6b19550a-bdc3-4796-8096-c6911560d534" targetNamespace="http://schemas.microsoft.com/office/2006/metadata/properties" ma:root="true" ma:fieldsID="fd1611c028c4b8e5ae6fe3ffca8b06cf" ns2:_="">
    <xsd:import namespace="6b19550a-bdc3-4796-8096-c6911560d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19550a-bdc3-4796-8096-c6911560d5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BCAAC0-9C03-42D2-8685-2E30F60CCBAA}">
  <ds:schemaRefs>
    <ds:schemaRef ds:uri="http://schemas.microsoft.com/sharepoint/v3/contenttype/forms"/>
  </ds:schemaRefs>
</ds:datastoreItem>
</file>

<file path=customXml/itemProps2.xml><?xml version="1.0" encoding="utf-8"?>
<ds:datastoreItem xmlns:ds="http://schemas.openxmlformats.org/officeDocument/2006/customXml" ds:itemID="{80568DEC-920F-4A54-AD30-257A3312E4F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0685F9E-CFF7-4CE8-86AB-E177C421B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19550a-bdc3-4796-8096-c6911560d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vt:lpstr>
      <vt:lpstr>Feuil1</vt:lpstr>
      <vt:lpstr>Journal!Zone_d_impression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Dimitri Lymberis</dc:creator>
  <cp:keywords/>
  <dc:description/>
  <cp:lastModifiedBy>Thomas Louis Nardou</cp:lastModifiedBy>
  <cp:revision/>
  <dcterms:created xsi:type="dcterms:W3CDTF">1996-10-21T11:03:58Z</dcterms:created>
  <dcterms:modified xsi:type="dcterms:W3CDTF">2026-05-01T09:22:59Z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0x010100FBB99F57F4D89D439F52EDCD0CED316B</vt:lpwstr>
  </property>
  <property fmtid="{D5CDD505-2E9C-101B-9397-08002B2CF9AE}" pid="3" name="Order">
    <vt:r8>195700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