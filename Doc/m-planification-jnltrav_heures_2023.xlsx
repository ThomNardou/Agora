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updateLinks="never" codeName="ThisWorkbook"/>
  <mc:AlternateContent xmlns:mc="http://schemas.openxmlformats.org/markup-compatibility/2006">
    <mc:Choice Requires="x15">
      <x15ac:absPath xmlns:x15ac="http://schemas.microsoft.com/office/spreadsheetml/2010/11/ac" url="C:\Users\pk88yte\Documents\Github\Agora\Doc\"/>
    </mc:Choice>
  </mc:AlternateContent>
  <xr:revisionPtr revIDLastSave="0" documentId="13_ncr:1_{458EF6D6-EE96-428C-9979-08C15E5B0C4D}" xr6:coauthVersionLast="47" xr6:coauthVersionMax="47" xr10:uidLastSave="{00000000-0000-0000-0000-000000000000}"/>
  <bookViews>
    <workbookView xWindow="28680" yWindow="-120" windowWidth="29040" windowHeight="15840" xr2:uid="{00000000-000D-0000-FFFF-FFFF00000000}"/>
  </bookViews>
  <sheets>
    <sheet name="Journal" sheetId="18" r:id="rId1"/>
    <sheet name="Feuil1" sheetId="19" r:id="rId2"/>
  </sheets>
  <definedNames>
    <definedName name="_xlnm.Print_Area" localSheetId="0">Journal!$A$1:$E$73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18" l="1"/>
  <c r="E19" i="19"/>
  <c r="B18" i="18"/>
  <c r="C73" i="18" l="1"/>
</calcChain>
</file>

<file path=xl/sharedStrings.xml><?xml version="1.0" encoding="utf-8"?>
<sst xmlns="http://schemas.openxmlformats.org/spreadsheetml/2006/main" count="71" uniqueCount="53">
  <si>
    <t>Apprenti.e</t>
  </si>
  <si>
    <t>Durée total (h ou p)</t>
  </si>
  <si>
    <t>Classe ou Groupe</t>
  </si>
  <si>
    <t>Experts </t>
  </si>
  <si>
    <t>Chef.fe de Projet</t>
  </si>
  <si>
    <t>Bulle / Domaine / Module</t>
  </si>
  <si>
    <t>Sujet </t>
  </si>
  <si>
    <t>Tâches</t>
  </si>
  <si>
    <t>Dates</t>
  </si>
  <si>
    <r>
      <t xml:space="preserve">Durées </t>
    </r>
    <r>
      <rPr>
        <b/>
        <sz val="10"/>
        <rFont val="Century Gothic"/>
        <family val="2"/>
      </rPr>
      <t>[min]</t>
    </r>
  </si>
  <si>
    <t>Explications / Etats</t>
  </si>
  <si>
    <t>Sources, liens, références, commits …</t>
  </si>
  <si>
    <t>Bilan du jour :</t>
  </si>
  <si>
    <t>Total en heures</t>
  </si>
  <si>
    <t>Si nécessaire, [ Copier ] &amp; [ Insérer ] un ou des jours supplémentaires avant la ligne du total</t>
  </si>
  <si>
    <t>Thomas Nardou</t>
  </si>
  <si>
    <t>MID4</t>
  </si>
  <si>
    <t xml:space="preserve">Jonathan Melly </t>
  </si>
  <si>
    <t>Lecture CDC</t>
  </si>
  <si>
    <t>Disscussion avec expert</t>
  </si>
  <si>
    <t>Plannification</t>
  </si>
  <si>
    <t>Début</t>
  </si>
  <si>
    <t>Fin Matin</t>
  </si>
  <si>
    <t>Debut Après midi</t>
  </si>
  <si>
    <t>Fin</t>
  </si>
  <si>
    <t>Pause</t>
  </si>
  <si>
    <t>Temps de travail</t>
  </si>
  <si>
    <t>Lundi</t>
  </si>
  <si>
    <t>Mardi</t>
  </si>
  <si>
    <t>Mercredi</t>
  </si>
  <si>
    <t>Jeudi</t>
  </si>
  <si>
    <t>Vendredi</t>
  </si>
  <si>
    <t>TOTAL :</t>
  </si>
  <si>
    <t>90h</t>
  </si>
  <si>
    <t>Nicolas Bordoën, Michael Wyssa</t>
  </si>
  <si>
    <t>Travail pratique individuel (TPI)</t>
  </si>
  <si>
    <t>Agora</t>
  </si>
  <si>
    <t>J'ai rencontré un de mes deux expert avec on a pu discuter des modalité du TPI</t>
  </si>
  <si>
    <t>Rapport</t>
  </si>
  <si>
    <t>J'ai terminé la plannification je vais l'envoyer cet après midi aux experts</t>
  </si>
  <si>
    <t>J'ai déjà commencé la rédaction du rapport</t>
  </si>
  <si>
    <t>https://www.onlinegantt.com/#/gantt</t>
  </si>
  <si>
    <t xml:space="preserve"> J'ai un peu avancé sur la rédaction du rapport où j'ai notament fait le contexte ma méthode de travail et les risques j'ai utilisé l'IA afin de corrigé les fautes reformuler des tournure de phrase </t>
  </si>
  <si>
    <t>Discussion</t>
  </si>
  <si>
    <t>J'avais quelques question concernant le CRON j'en ai donc discuté avec M. Melly et on a aussi discuté si le stattus En cours, Terminé/ Echouée concernait la campagne ou juste le mail et on a décidé que ca touchais uniquement la campagne</t>
  </si>
  <si>
    <t>Maquettes</t>
  </si>
  <si>
    <t>J'ai commencé les maquettes basse fidélité en me basant sur une ancienne app que j'ai faite afin de gagner du temps</t>
  </si>
  <si>
    <t>J'ai continué mes maquettes</t>
  </si>
  <si>
    <t>Suite au mail de M. Borboën j'ai modifié ma planification</t>
  </si>
  <si>
    <t>J'ai commencé les maquettes hautes fidélité et en cours j'ai remarqué que j'avais oublié de faire la page de vue d'une campagne dans les maquette basse fidélité</t>
  </si>
  <si>
    <t>J'ai finis les maquette HF pour la page d'accueil</t>
  </si>
  <si>
    <t>J'ai terminé mes maquettes HF et j'ai aussi corrigé les maquette BF</t>
  </si>
  <si>
    <t>11h15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</si>
</sst>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name val="Century Gothic"/>
      <family val="2"/>
      <scheme val="minor"/>
    </font>
    <font>
      <u/>
      <sz val="10"/>
      <color indexed="12"/>
      <name val="Arial"/>
      <family val="2"/>
    </font>
    <font>
      <sz val="11"/>
      <name val="Century Gothic"/>
      <family val="2"/>
    </font>
    <font>
      <sz val="10"/>
      <name val="Century Gothic"/>
      <family val="2"/>
    </font>
    <font>
      <b/>
      <sz val="12"/>
      <name val="Century Gothic"/>
      <family val="2"/>
    </font>
    <font>
      <b/>
      <sz val="10"/>
      <name val="Century Gothic"/>
      <family val="2"/>
    </font>
    <font>
      <u/>
      <sz val="10"/>
      <color theme="10"/>
      <name val="Century Gothic"/>
      <family val="2"/>
      <scheme val="minor"/>
    </font>
    <font>
      <sz val="12"/>
      <color rgb="FF001D35"/>
      <name val="Arial"/>
      <family val="2"/>
    </font>
  </fonts>
  <fills count="4">
    <fill>
      <patternFill patternType="none"/>
    </fill>
    <fill>
      <patternFill patternType="gray125"/>
    </fill>
    <fill>
      <patternFill patternType="solid">
        <fgColor theme="3" tint="0.39997558519241921"/>
        <bgColor indexed="64"/>
      </patternFill>
    </fill>
    <fill>
      <patternFill patternType="solid">
        <fgColor theme="4" tint="0.79998168889431442"/>
        <bgColor indexed="64"/>
      </patternFill>
    </fill>
  </fills>
  <borders count="1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s>
  <cellStyleXfs count="3">
    <xf numFmtId="0" fontId="0" fillId="0" borderId="0"/>
    <xf numFmtId="0" fontId="1" fillId="0" borderId="0" applyNumberFormat="0" applyFill="0" applyBorder="0" applyAlignment="0" applyProtection="0">
      <alignment vertical="top"/>
      <protection locked="0"/>
    </xf>
    <xf numFmtId="0" fontId="6" fillId="0" borderId="0" applyNumberFormat="0" applyFill="0" applyBorder="0" applyAlignment="0" applyProtection="0"/>
  </cellStyleXfs>
  <cellXfs count="40">
    <xf numFmtId="0" fontId="0" fillId="0" borderId="0" xfId="0"/>
    <xf numFmtId="0" fontId="3" fillId="0" borderId="0" xfId="0" applyFont="1" applyAlignment="1">
      <alignment vertical="center"/>
    </xf>
    <xf numFmtId="0" fontId="4" fillId="2" borderId="6" xfId="0" applyFont="1" applyFill="1" applyBorder="1" applyAlignment="1">
      <alignment horizontal="center" vertical="center"/>
    </xf>
    <xf numFmtId="0" fontId="4" fillId="2" borderId="5" xfId="0" applyFont="1" applyFill="1" applyBorder="1" applyAlignment="1">
      <alignment horizontal="center" vertical="center"/>
    </xf>
    <xf numFmtId="0" fontId="3" fillId="0" borderId="1" xfId="1" applyFont="1" applyFill="1" applyBorder="1" applyAlignment="1" applyProtection="1">
      <alignment horizontal="center" vertical="center" wrapText="1"/>
      <protection locked="0"/>
    </xf>
    <xf numFmtId="0" fontId="3" fillId="0" borderId="1" xfId="0" applyFont="1" applyBorder="1" applyAlignment="1" applyProtection="1">
      <alignment horizontal="center" vertical="center" wrapText="1"/>
      <protection locked="0"/>
    </xf>
    <xf numFmtId="0" fontId="3" fillId="0" borderId="1" xfId="0" applyFont="1" applyBorder="1" applyAlignment="1" applyProtection="1">
      <alignment horizontal="left" vertical="center" wrapText="1"/>
      <protection locked="0"/>
    </xf>
    <xf numFmtId="0" fontId="3" fillId="0" borderId="2" xfId="1" applyFont="1" applyFill="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2" xfId="0" applyFont="1" applyBorder="1" applyAlignment="1" applyProtection="1">
      <alignment horizontal="left" vertical="center" wrapText="1"/>
      <protection locked="0"/>
    </xf>
    <xf numFmtId="0" fontId="3" fillId="0" borderId="9" xfId="0" applyFont="1" applyBorder="1" applyAlignment="1" applyProtection="1">
      <alignment horizontal="center" vertical="center" wrapText="1"/>
      <protection locked="0"/>
    </xf>
    <xf numFmtId="0" fontId="3" fillId="0" borderId="9" xfId="0" applyFont="1" applyBorder="1" applyAlignment="1" applyProtection="1">
      <alignment horizontal="left" vertical="center" wrapText="1"/>
      <protection locked="0"/>
    </xf>
    <xf numFmtId="0" fontId="5" fillId="3" borderId="5" xfId="0" applyFont="1" applyFill="1" applyBorder="1" applyAlignment="1" applyProtection="1">
      <alignment horizontal="center" vertical="center" wrapText="1"/>
      <protection locked="0"/>
    </xf>
    <xf numFmtId="0" fontId="3" fillId="0" borderId="10" xfId="0" applyFont="1" applyBorder="1" applyAlignment="1" applyProtection="1">
      <alignment horizontal="center" vertical="center" wrapText="1"/>
      <protection locked="0"/>
    </xf>
    <xf numFmtId="0" fontId="3" fillId="0" borderId="10" xfId="0" applyFont="1" applyBorder="1" applyAlignment="1" applyProtection="1">
      <alignment horizontal="left" vertical="center" wrapText="1"/>
      <protection locked="0"/>
    </xf>
    <xf numFmtId="0" fontId="4" fillId="2" borderId="6" xfId="0" applyFont="1" applyFill="1" applyBorder="1" applyAlignment="1">
      <alignment horizontal="center" vertical="center" wrapText="1"/>
    </xf>
    <xf numFmtId="0" fontId="5" fillId="2" borderId="5" xfId="0" applyFont="1" applyFill="1" applyBorder="1" applyAlignment="1">
      <alignment horizontal="left" vertical="center" wrapText="1"/>
    </xf>
    <xf numFmtId="0" fontId="5" fillId="2" borderId="4" xfId="0" applyFont="1" applyFill="1" applyBorder="1" applyAlignment="1">
      <alignment horizontal="center" vertical="center" wrapText="1"/>
    </xf>
    <xf numFmtId="0" fontId="5" fillId="0" borderId="0" xfId="0" applyFont="1" applyAlignment="1">
      <alignment vertical="center"/>
    </xf>
    <xf numFmtId="0" fontId="2" fillId="0" borderId="6" xfId="0" applyFont="1" applyBorder="1" applyAlignment="1">
      <alignment horizontal="left" vertical="center" wrapText="1" indent="1"/>
    </xf>
    <xf numFmtId="0" fontId="2" fillId="0" borderId="6" xfId="0" applyFont="1" applyBorder="1" applyAlignment="1">
      <alignment horizontal="left" vertical="center" indent="1"/>
    </xf>
    <xf numFmtId="0" fontId="4" fillId="3" borderId="6" xfId="0" applyFont="1" applyFill="1" applyBorder="1" applyAlignment="1">
      <alignment horizontal="left" vertical="center" wrapText="1" indent="1"/>
    </xf>
    <xf numFmtId="0" fontId="4" fillId="3" borderId="6" xfId="0" applyFont="1" applyFill="1" applyBorder="1" applyAlignment="1">
      <alignment horizontal="left" vertical="center" indent="1"/>
    </xf>
    <xf numFmtId="0" fontId="6" fillId="0" borderId="1" xfId="2" applyBorder="1" applyAlignment="1" applyProtection="1">
      <alignment horizontal="center" vertical="center" wrapText="1"/>
      <protection locked="0"/>
    </xf>
    <xf numFmtId="20" fontId="3" fillId="0" borderId="0" xfId="0" applyNumberFormat="1" applyFont="1" applyAlignment="1">
      <alignment vertical="center"/>
    </xf>
    <xf numFmtId="0" fontId="7" fillId="0" borderId="0" xfId="0" applyFont="1"/>
    <xf numFmtId="20" fontId="0" fillId="0" borderId="0" xfId="0" applyNumberFormat="1"/>
    <xf numFmtId="14" fontId="3" fillId="0" borderId="7" xfId="0" applyNumberFormat="1" applyFont="1" applyBorder="1" applyAlignment="1" applyProtection="1">
      <alignment horizontal="center" vertical="center" wrapText="1"/>
      <protection locked="0"/>
    </xf>
    <xf numFmtId="0" fontId="3" fillId="0" borderId="11" xfId="0" applyFont="1" applyBorder="1" applyAlignment="1" applyProtection="1">
      <alignment horizontal="center" vertical="center" wrapText="1"/>
      <protection locked="0"/>
    </xf>
    <xf numFmtId="0" fontId="3" fillId="0" borderId="8" xfId="0" applyFont="1" applyBorder="1" applyAlignment="1" applyProtection="1">
      <alignment horizontal="center" vertical="center" wrapText="1"/>
      <protection locked="0"/>
    </xf>
    <xf numFmtId="0" fontId="3" fillId="3" borderId="5" xfId="0" applyFont="1" applyFill="1" applyBorder="1" applyAlignment="1" applyProtection="1">
      <alignment vertical="center" wrapText="1"/>
      <protection locked="0"/>
    </xf>
    <xf numFmtId="0" fontId="3" fillId="3" borderId="3" xfId="0" applyFont="1" applyFill="1" applyBorder="1" applyAlignment="1" applyProtection="1">
      <alignment vertical="center" wrapText="1"/>
      <protection locked="0"/>
    </xf>
    <xf numFmtId="0" fontId="3" fillId="3" borderId="4" xfId="0" applyFont="1" applyFill="1" applyBorder="1" applyAlignment="1" applyProtection="1">
      <alignment vertical="center" wrapText="1"/>
      <protection locked="0"/>
    </xf>
    <xf numFmtId="0" fontId="4" fillId="2" borderId="5" xfId="0" applyFont="1" applyFill="1" applyBorder="1" applyAlignment="1">
      <alignment horizontal="right" vertical="center" wrapText="1"/>
    </xf>
    <xf numFmtId="0" fontId="4" fillId="2" borderId="4" xfId="0" applyFont="1" applyFill="1" applyBorder="1" applyAlignment="1">
      <alignment horizontal="right" vertical="center" wrapText="1"/>
    </xf>
    <xf numFmtId="0" fontId="3" fillId="0" borderId="7" xfId="0" applyFont="1" applyBorder="1" applyAlignment="1" applyProtection="1">
      <alignment horizontal="center" vertical="center" wrapText="1"/>
      <protection locked="0"/>
    </xf>
    <xf numFmtId="0" fontId="2" fillId="0" borderId="6"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cellXfs>
  <cellStyles count="3">
    <cellStyle name="Hyperlink" xfId="2" xr:uid="{00000000-000B-0000-0000-000008000000}"/>
    <cellStyle name="Lien hypertexte" xfId="1" builtinId="8"/>
    <cellStyle name="Normal" xfId="0" builtinId="0" customBuiltin="1"/>
  </cellStyles>
  <dxfs count="0"/>
  <tableStyles count="0" defaultTableStyle="TableStyleMedium9" defaultPivotStyle="PivotStyleLight16"/>
  <colors>
    <mruColors>
      <color rgb="FFFFFFCC"/>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2.png"/></Relationships>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Austin">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ustin">
      <a:maj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a:ea typeface=""/>
        <a:cs typeface=""/>
        <a:font script="Jpan" typeface="ＭＳ ゴシック"/>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Austin">
      <a:fillStyleLst>
        <a:solidFill>
          <a:schemeClr val="phClr"/>
        </a:solidFill>
        <a:gradFill rotWithShape="1">
          <a:gsLst>
            <a:gs pos="0">
              <a:schemeClr val="phClr">
                <a:tint val="20000"/>
                <a:satMod val="180000"/>
                <a:lumMod val="98000"/>
              </a:schemeClr>
            </a:gs>
            <a:gs pos="40000">
              <a:schemeClr val="phClr">
                <a:tint val="30000"/>
                <a:satMod val="260000"/>
                <a:lumMod val="84000"/>
              </a:schemeClr>
            </a:gs>
            <a:gs pos="100000">
              <a:schemeClr val="phClr">
                <a:tint val="100000"/>
                <a:satMod val="110000"/>
                <a:lumMod val="100000"/>
              </a:schemeClr>
            </a:gs>
          </a:gsLst>
          <a:lin ang="5040000" scaled="1"/>
        </a:gradFill>
        <a:gradFill rotWithShape="1">
          <a:gsLst>
            <a:gs pos="0">
              <a:schemeClr val="phClr"/>
            </a:gs>
            <a:gs pos="100000">
              <a:schemeClr val="phClr">
                <a:shade val="75000"/>
                <a:satMod val="120000"/>
                <a:lumMod val="90000"/>
              </a:schemeClr>
            </a:gs>
          </a:gsLst>
          <a:lin ang="5400000" scaled="0"/>
        </a:gradFill>
      </a:fillStyleLst>
      <a:lnStyleLst>
        <a:ln w="9525" cap="flat" cmpd="sng" algn="ctr">
          <a:solidFill>
            <a:schemeClr val="phClr"/>
          </a:solidFill>
          <a:prstDash val="solid"/>
        </a:ln>
        <a:ln w="15875" cap="flat" cmpd="sng" algn="ctr">
          <a:solidFill>
            <a:schemeClr val="phClr"/>
          </a:solidFill>
          <a:prstDash val="solid"/>
        </a:ln>
        <a:ln w="22225" cap="flat" cmpd="sng" algn="ctr">
          <a:solidFill>
            <a:schemeClr val="phClr"/>
          </a:solidFill>
          <a:prstDash val="solid"/>
        </a:ln>
      </a:lnStyleLst>
      <a:effectStyleLst>
        <a:effectStyle>
          <a:effectLst/>
        </a:effectStyle>
        <a:effectStyle>
          <a:effectLst>
            <a:outerShdw blurRad="50800" dist="25400" dir="5400000" rotWithShape="0">
              <a:srgbClr val="000000">
                <a:alpha val="28000"/>
              </a:srgbClr>
            </a:outerShdw>
          </a:effectLst>
          <a:scene3d>
            <a:camera prst="orthographicFront">
              <a:rot lat="0" lon="0" rev="0"/>
            </a:camera>
            <a:lightRig rig="threePt" dir="tl">
              <a:rot lat="0" lon="0" rev="20400000"/>
            </a:lightRig>
          </a:scene3d>
          <a:sp3d>
            <a:bevelT w="50800" h="12700" prst="softRound"/>
          </a:sp3d>
        </a:effectStyle>
        <a:effectStyle>
          <a:effectLst>
            <a:outerShdw blurRad="44450" dist="50800" dir="5400000" sx="96000" rotWithShape="0">
              <a:srgbClr val="000000">
                <a:alpha val="34000"/>
              </a:srgbClr>
            </a:outerShdw>
          </a:effectLst>
          <a:scene3d>
            <a:camera prst="orthographicFront">
              <a:rot lat="0" lon="0" rev="0"/>
            </a:camera>
            <a:lightRig rig="threePt" dir="tl">
              <a:rot lat="0" lon="0" rev="20400000"/>
            </a:lightRig>
          </a:scene3d>
          <a:sp3d contourW="15875" prstMaterial="metal">
            <a:bevelT w="101600" h="25400" prst="softRound"/>
            <a:contourClr>
              <a:schemeClr val="phClr">
                <a:shade val="30000"/>
              </a:schemeClr>
            </a:contourClr>
          </a:sp3d>
        </a:effectStyle>
      </a:effectStyleLst>
      <a:bgFillStyleLst>
        <a:solidFill>
          <a:schemeClr val="phClr"/>
        </a:solidFill>
        <a:gradFill rotWithShape="1">
          <a:gsLst>
            <a:gs pos="0">
              <a:schemeClr val="phClr">
                <a:shade val="94000"/>
                <a:satMod val="114000"/>
                <a:lumMod val="96000"/>
              </a:schemeClr>
            </a:gs>
            <a:gs pos="62000">
              <a:schemeClr val="phClr">
                <a:tint val="92000"/>
                <a:shade val="66000"/>
                <a:satMod val="110000"/>
                <a:lumMod val="80000"/>
              </a:schemeClr>
            </a:gs>
            <a:gs pos="100000">
              <a:schemeClr val="phClr">
                <a:tint val="89000"/>
                <a:shade val="62000"/>
                <a:satMod val="110000"/>
                <a:lumMod val="72000"/>
              </a:schemeClr>
            </a:gs>
          </a:gsLst>
          <a:lin ang="5400000" scaled="0"/>
        </a:gradFill>
        <a:blipFill rotWithShape="1">
          <a:blip xmlns:r="http://schemas.openxmlformats.org/officeDocument/2006/relationships" r:embed="rId1">
            <a:duotone>
              <a:schemeClr val="phClr">
                <a:tint val="80000"/>
                <a:shade val="58000"/>
              </a:schemeClr>
              <a:schemeClr val="phClr">
                <a:tint val="73000"/>
                <a:shade val="68000"/>
                <a:satMod val="150000"/>
              </a:schemeClr>
            </a:duotone>
          </a:blip>
          <a:tile tx="0" ty="0" sx="100000" sy="100000" flip="none" algn="tl"/>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9B11-3078-4C32-9318-C5231A58CF27}">
  <sheetPr>
    <pageSetUpPr fitToPage="1"/>
  </sheetPr>
  <dimension ref="A1:G76"/>
  <sheetViews>
    <sheetView tabSelected="1" view="pageBreakPreview" zoomScaleNormal="100" zoomScaleSheetLayoutView="100" workbookViewId="0">
      <pane xSplit="3" ySplit="5" topLeftCell="D6" activePane="bottomRight" state="frozen"/>
      <selection pane="topRight" activeCell="D1" sqref="D1"/>
      <selection pane="bottomLeft" activeCell="A2" sqref="A2"/>
      <selection pane="bottomRight" activeCell="E22" sqref="E22"/>
    </sheetView>
  </sheetViews>
  <sheetFormatPr baseColWidth="10" defaultColWidth="11.42578125" defaultRowHeight="13.5" x14ac:dyDescent="0.25"/>
  <cols>
    <col min="1" max="1" width="26.7109375" style="1" customWidth="1"/>
    <col min="2" max="3" width="14.7109375" style="1" customWidth="1"/>
    <col min="4" max="4" width="80.7109375" style="1" customWidth="1"/>
    <col min="5" max="5" width="50.7109375" style="1" customWidth="1"/>
    <col min="6" max="6" width="19.5703125" style="1" customWidth="1"/>
    <col min="7" max="7" width="36" style="1" customWidth="1"/>
    <col min="8" max="16384" width="11.42578125" style="1"/>
  </cols>
  <sheetData>
    <row r="1" spans="1:7" ht="21" customHeight="1" x14ac:dyDescent="0.25">
      <c r="A1" s="21" t="s">
        <v>0</v>
      </c>
      <c r="B1" s="36" t="s">
        <v>15</v>
      </c>
      <c r="C1" s="36"/>
      <c r="D1" s="22" t="s">
        <v>1</v>
      </c>
      <c r="E1" s="20" t="s">
        <v>33</v>
      </c>
    </row>
    <row r="2" spans="1:7" ht="21" customHeight="1" thickBot="1" x14ac:dyDescent="0.3">
      <c r="A2" s="21" t="s">
        <v>2</v>
      </c>
      <c r="B2" s="36" t="s">
        <v>16</v>
      </c>
      <c r="C2" s="36"/>
      <c r="D2" s="22" t="s">
        <v>3</v>
      </c>
      <c r="E2" s="20" t="s">
        <v>34</v>
      </c>
    </row>
    <row r="3" spans="1:7" ht="21" customHeight="1" x14ac:dyDescent="0.25">
      <c r="A3" s="21" t="s">
        <v>4</v>
      </c>
      <c r="B3" s="36" t="s">
        <v>17</v>
      </c>
      <c r="C3" s="36"/>
      <c r="D3" s="22" t="s">
        <v>5</v>
      </c>
      <c r="E3" s="19" t="s">
        <v>35</v>
      </c>
    </row>
    <row r="4" spans="1:7" ht="21" customHeight="1" x14ac:dyDescent="0.25">
      <c r="A4" s="21" t="s">
        <v>6</v>
      </c>
      <c r="B4" s="37" t="s">
        <v>36</v>
      </c>
      <c r="C4" s="38"/>
      <c r="D4" s="38"/>
      <c r="E4" s="39"/>
    </row>
    <row r="5" spans="1:7" ht="21" customHeight="1" thickBot="1" x14ac:dyDescent="0.3">
      <c r="A5" s="2" t="s">
        <v>7</v>
      </c>
      <c r="B5" s="3" t="s">
        <v>8</v>
      </c>
      <c r="C5" s="3" t="s">
        <v>9</v>
      </c>
      <c r="D5" s="2" t="s">
        <v>10</v>
      </c>
      <c r="E5" s="2" t="s">
        <v>11</v>
      </c>
    </row>
    <row r="6" spans="1:7" ht="18" customHeight="1" x14ac:dyDescent="0.25">
      <c r="A6" s="4" t="s">
        <v>18</v>
      </c>
      <c r="B6" s="27">
        <v>46139</v>
      </c>
      <c r="C6" s="5">
        <v>20</v>
      </c>
      <c r="D6" s="6"/>
      <c r="E6" s="23"/>
    </row>
    <row r="7" spans="1:7" ht="18" customHeight="1" x14ac:dyDescent="0.25">
      <c r="A7" s="7" t="s">
        <v>19</v>
      </c>
      <c r="B7" s="28"/>
      <c r="C7" s="8">
        <v>30</v>
      </c>
      <c r="D7" s="9" t="s">
        <v>37</v>
      </c>
      <c r="E7" s="8"/>
    </row>
    <row r="8" spans="1:7" ht="18" customHeight="1" x14ac:dyDescent="0.25">
      <c r="A8" s="7" t="s">
        <v>20</v>
      </c>
      <c r="B8" s="28"/>
      <c r="C8" s="8">
        <v>30</v>
      </c>
      <c r="D8" s="9"/>
      <c r="E8" s="8" t="s">
        <v>41</v>
      </c>
    </row>
    <row r="9" spans="1:7" ht="18" customHeight="1" x14ac:dyDescent="0.25">
      <c r="A9" s="7" t="s">
        <v>20</v>
      </c>
      <c r="B9" s="28"/>
      <c r="C9" s="8">
        <v>10</v>
      </c>
      <c r="D9" s="9"/>
      <c r="E9" s="8"/>
    </row>
    <row r="10" spans="1:7" ht="18" customHeight="1" x14ac:dyDescent="0.25">
      <c r="A10" s="7" t="s">
        <v>20</v>
      </c>
      <c r="B10" s="28"/>
      <c r="C10" s="10">
        <v>20</v>
      </c>
      <c r="D10" s="11"/>
      <c r="E10" s="10"/>
      <c r="F10" s="24"/>
      <c r="G10" s="24"/>
    </row>
    <row r="11" spans="1:7" ht="18" customHeight="1" x14ac:dyDescent="0.25">
      <c r="A11" s="7" t="s">
        <v>20</v>
      </c>
      <c r="B11" s="28"/>
      <c r="C11" s="10">
        <v>20</v>
      </c>
      <c r="D11" s="11" t="s">
        <v>39</v>
      </c>
      <c r="E11" s="10"/>
      <c r="F11" s="24"/>
      <c r="G11" s="24"/>
    </row>
    <row r="12" spans="1:7" x14ac:dyDescent="0.25">
      <c r="A12" s="7" t="s">
        <v>38</v>
      </c>
      <c r="B12" s="28"/>
      <c r="C12" s="10">
        <v>60</v>
      </c>
      <c r="D12" s="11" t="s">
        <v>40</v>
      </c>
      <c r="E12" s="10"/>
      <c r="F12" s="24"/>
      <c r="G12" s="24"/>
    </row>
    <row r="13" spans="1:7" ht="40.5" x14ac:dyDescent="0.25">
      <c r="A13" s="7" t="s">
        <v>43</v>
      </c>
      <c r="B13" s="28"/>
      <c r="C13" s="10">
        <v>10</v>
      </c>
      <c r="D13" s="11" t="s">
        <v>44</v>
      </c>
      <c r="E13" s="10"/>
      <c r="F13" s="24"/>
      <c r="G13" s="24"/>
    </row>
    <row r="14" spans="1:7" ht="27" x14ac:dyDescent="0.25">
      <c r="A14" s="7" t="s">
        <v>45</v>
      </c>
      <c r="B14" s="28"/>
      <c r="C14" s="10">
        <v>60</v>
      </c>
      <c r="D14" s="11" t="s">
        <v>46</v>
      </c>
      <c r="E14" s="10"/>
      <c r="F14" s="24"/>
      <c r="G14" s="24"/>
    </row>
    <row r="15" spans="1:7" ht="40.5" x14ac:dyDescent="0.25">
      <c r="A15" s="7" t="s">
        <v>38</v>
      </c>
      <c r="B15" s="28"/>
      <c r="C15" s="10">
        <v>40</v>
      </c>
      <c r="D15" s="11" t="s">
        <v>42</v>
      </c>
      <c r="E15" s="10"/>
      <c r="F15" s="24"/>
      <c r="G15" s="24"/>
    </row>
    <row r="16" spans="1:7" x14ac:dyDescent="0.25">
      <c r="A16" s="7" t="s">
        <v>45</v>
      </c>
      <c r="B16" s="28"/>
      <c r="C16" s="10">
        <v>20</v>
      </c>
      <c r="D16" s="11" t="s">
        <v>47</v>
      </c>
      <c r="E16" s="10"/>
      <c r="F16" s="24"/>
      <c r="G16" s="24"/>
    </row>
    <row r="17" spans="1:7" ht="14.25" thickBot="1" x14ac:dyDescent="0.3">
      <c r="A17" s="7"/>
      <c r="B17" s="29"/>
      <c r="C17" s="10"/>
      <c r="D17" s="11"/>
      <c r="E17" s="10"/>
    </row>
    <row r="18" spans="1:7" ht="18" customHeight="1" thickBot="1" x14ac:dyDescent="0.3">
      <c r="A18" s="12" t="s">
        <v>12</v>
      </c>
      <c r="B18" s="30" t="str">
        <f>INT(SUM(C6:C17)/60)&amp;"h"&amp;MOD(SUM(C6:C17),60)</f>
        <v>5h20</v>
      </c>
      <c r="C18" s="31"/>
      <c r="D18" s="31"/>
      <c r="E18" s="32"/>
    </row>
    <row r="19" spans="1:7" ht="18" customHeight="1" x14ac:dyDescent="0.25">
      <c r="A19" s="4" t="s">
        <v>20</v>
      </c>
      <c r="B19" s="27">
        <v>46139</v>
      </c>
      <c r="C19" s="5">
        <v>30</v>
      </c>
      <c r="D19" s="6" t="s">
        <v>48</v>
      </c>
      <c r="E19" s="5"/>
    </row>
    <row r="20" spans="1:7" ht="27" x14ac:dyDescent="0.25">
      <c r="A20" s="7" t="s">
        <v>45</v>
      </c>
      <c r="B20" s="28"/>
      <c r="C20" s="8">
        <v>55</v>
      </c>
      <c r="D20" s="9" t="s">
        <v>49</v>
      </c>
      <c r="E20" s="8"/>
    </row>
    <row r="21" spans="1:7" ht="18" customHeight="1" x14ac:dyDescent="0.2">
      <c r="A21" s="7" t="s">
        <v>45</v>
      </c>
      <c r="B21" s="28"/>
      <c r="C21" s="8">
        <v>40</v>
      </c>
      <c r="D21" s="9" t="s">
        <v>50</v>
      </c>
      <c r="E21" s="8"/>
      <c r="G21" s="25"/>
    </row>
    <row r="22" spans="1:7" ht="18" customHeight="1" x14ac:dyDescent="0.25">
      <c r="A22" s="7" t="s">
        <v>45</v>
      </c>
      <c r="B22" s="28"/>
      <c r="C22" s="8">
        <v>45</v>
      </c>
      <c r="D22" s="9" t="s">
        <v>51</v>
      </c>
      <c r="E22" s="8" t="s">
        <v>52</v>
      </c>
    </row>
    <row r="23" spans="1:7" ht="18" customHeight="1" thickBot="1" x14ac:dyDescent="0.3">
      <c r="A23" s="10"/>
      <c r="B23" s="29"/>
      <c r="C23" s="10"/>
      <c r="D23" s="11"/>
      <c r="E23" s="10"/>
    </row>
    <row r="24" spans="1:7" ht="18" customHeight="1" thickBot="1" x14ac:dyDescent="0.3">
      <c r="A24" s="12" t="s">
        <v>12</v>
      </c>
      <c r="B24" s="30" t="str">
        <f>INT(SUM(C19:C23)/60)&amp;"h"&amp;MOD(SUM(C19:C23),60)</f>
        <v>2h50</v>
      </c>
      <c r="C24" s="31"/>
      <c r="D24" s="31"/>
      <c r="E24" s="32"/>
    </row>
    <row r="25" spans="1:7" ht="18" customHeight="1" x14ac:dyDescent="0.25">
      <c r="A25" s="4"/>
      <c r="B25" s="35"/>
      <c r="C25" s="5"/>
      <c r="D25" s="6"/>
      <c r="E25" s="5"/>
    </row>
    <row r="26" spans="1:7" ht="18" customHeight="1" x14ac:dyDescent="0.25">
      <c r="A26" s="7"/>
      <c r="B26" s="28"/>
      <c r="C26" s="8"/>
      <c r="D26" s="9"/>
      <c r="E26" s="8"/>
    </row>
    <row r="27" spans="1:7" ht="18" customHeight="1" x14ac:dyDescent="0.25">
      <c r="A27" s="7"/>
      <c r="B27" s="28"/>
      <c r="C27" s="8"/>
      <c r="D27" s="9"/>
      <c r="E27" s="8"/>
    </row>
    <row r="28" spans="1:7" ht="18" customHeight="1" x14ac:dyDescent="0.25">
      <c r="A28" s="7"/>
      <c r="B28" s="28"/>
      <c r="C28" s="8"/>
      <c r="D28" s="9"/>
      <c r="E28" s="8"/>
    </row>
    <row r="29" spans="1:7" ht="18" customHeight="1" thickBot="1" x14ac:dyDescent="0.3">
      <c r="A29" s="10"/>
      <c r="B29" s="29"/>
      <c r="C29" s="10"/>
      <c r="D29" s="11"/>
      <c r="E29" s="10"/>
    </row>
    <row r="30" spans="1:7" ht="18" customHeight="1" thickBot="1" x14ac:dyDescent="0.3">
      <c r="A30" s="12" t="s">
        <v>12</v>
      </c>
      <c r="B30" s="30"/>
      <c r="C30" s="31"/>
      <c r="D30" s="31"/>
      <c r="E30" s="32"/>
    </row>
    <row r="31" spans="1:7" ht="18" customHeight="1" x14ac:dyDescent="0.25">
      <c r="A31" s="4"/>
      <c r="B31" s="35"/>
      <c r="C31" s="5"/>
      <c r="D31" s="6"/>
      <c r="E31" s="5"/>
    </row>
    <row r="32" spans="1:7" ht="18" customHeight="1" x14ac:dyDescent="0.25">
      <c r="A32" s="7"/>
      <c r="B32" s="28"/>
      <c r="C32" s="8"/>
      <c r="D32" s="9"/>
      <c r="E32" s="8"/>
    </row>
    <row r="33" spans="1:5" ht="18" customHeight="1" x14ac:dyDescent="0.25">
      <c r="A33" s="7"/>
      <c r="B33" s="28"/>
      <c r="C33" s="8"/>
      <c r="D33" s="9"/>
      <c r="E33" s="8"/>
    </row>
    <row r="34" spans="1:5" ht="18" customHeight="1" x14ac:dyDescent="0.25">
      <c r="A34" s="7"/>
      <c r="B34" s="28"/>
      <c r="C34" s="8"/>
      <c r="D34" s="9"/>
      <c r="E34" s="8"/>
    </row>
    <row r="35" spans="1:5" ht="18" customHeight="1" thickBot="1" x14ac:dyDescent="0.3">
      <c r="A35" s="10"/>
      <c r="B35" s="29"/>
      <c r="C35" s="10"/>
      <c r="D35" s="11"/>
      <c r="E35" s="10"/>
    </row>
    <row r="36" spans="1:5" ht="18" customHeight="1" thickBot="1" x14ac:dyDescent="0.3">
      <c r="A36" s="12" t="s">
        <v>12</v>
      </c>
      <c r="B36" s="30"/>
      <c r="C36" s="31"/>
      <c r="D36" s="31"/>
      <c r="E36" s="32"/>
    </row>
    <row r="37" spans="1:5" ht="18" customHeight="1" x14ac:dyDescent="0.25">
      <c r="A37" s="13"/>
      <c r="B37" s="35"/>
      <c r="C37" s="13"/>
      <c r="D37" s="14"/>
      <c r="E37" s="13"/>
    </row>
    <row r="38" spans="1:5" ht="18" customHeight="1" x14ac:dyDescent="0.25">
      <c r="A38" s="8"/>
      <c r="B38" s="28"/>
      <c r="C38" s="8"/>
      <c r="D38" s="9"/>
      <c r="E38" s="8"/>
    </row>
    <row r="39" spans="1:5" ht="18" customHeight="1" x14ac:dyDescent="0.25">
      <c r="A39" s="8"/>
      <c r="B39" s="28"/>
      <c r="C39" s="8"/>
      <c r="D39" s="9"/>
      <c r="E39" s="8"/>
    </row>
    <row r="40" spans="1:5" ht="18" customHeight="1" x14ac:dyDescent="0.25">
      <c r="A40" s="8"/>
      <c r="B40" s="28"/>
      <c r="C40" s="8"/>
      <c r="D40" s="9"/>
      <c r="E40" s="8"/>
    </row>
    <row r="41" spans="1:5" ht="18" customHeight="1" thickBot="1" x14ac:dyDescent="0.3">
      <c r="A41" s="8"/>
      <c r="B41" s="29"/>
      <c r="C41" s="8"/>
      <c r="D41" s="9"/>
      <c r="E41" s="8"/>
    </row>
    <row r="42" spans="1:5" ht="18" customHeight="1" thickBot="1" x14ac:dyDescent="0.3">
      <c r="A42" s="12" t="s">
        <v>12</v>
      </c>
      <c r="B42" s="30"/>
      <c r="C42" s="31"/>
      <c r="D42" s="31"/>
      <c r="E42" s="32"/>
    </row>
    <row r="43" spans="1:5" ht="18" customHeight="1" x14ac:dyDescent="0.25">
      <c r="A43" s="4"/>
      <c r="B43" s="27"/>
      <c r="C43" s="5"/>
      <c r="D43" s="6"/>
      <c r="E43" s="5"/>
    </row>
    <row r="44" spans="1:5" ht="18" customHeight="1" x14ac:dyDescent="0.25">
      <c r="A44" s="7"/>
      <c r="B44" s="28"/>
      <c r="C44" s="8"/>
      <c r="D44" s="9"/>
      <c r="E44" s="8"/>
    </row>
    <row r="45" spans="1:5" ht="18" customHeight="1" x14ac:dyDescent="0.25">
      <c r="A45" s="7"/>
      <c r="B45" s="28"/>
      <c r="C45" s="8"/>
      <c r="D45" s="9"/>
      <c r="E45" s="8"/>
    </row>
    <row r="46" spans="1:5" ht="18" customHeight="1" x14ac:dyDescent="0.25">
      <c r="A46" s="7"/>
      <c r="B46" s="28"/>
      <c r="C46" s="8"/>
      <c r="D46" s="9"/>
      <c r="E46" s="8"/>
    </row>
    <row r="47" spans="1:5" ht="18" customHeight="1" thickBot="1" x14ac:dyDescent="0.3">
      <c r="A47" s="10"/>
      <c r="B47" s="29"/>
      <c r="C47" s="10"/>
      <c r="D47" s="11"/>
      <c r="E47" s="10"/>
    </row>
    <row r="48" spans="1:5" ht="18" customHeight="1" thickBot="1" x14ac:dyDescent="0.3">
      <c r="A48" s="12" t="s">
        <v>12</v>
      </c>
      <c r="B48" s="30"/>
      <c r="C48" s="31"/>
      <c r="D48" s="31"/>
      <c r="E48" s="32"/>
    </row>
    <row r="49" spans="1:5" ht="18" customHeight="1" x14ac:dyDescent="0.25">
      <c r="A49" s="4"/>
      <c r="B49" s="35"/>
      <c r="C49" s="5"/>
      <c r="D49" s="6"/>
      <c r="E49" s="5"/>
    </row>
    <row r="50" spans="1:5" ht="18" customHeight="1" x14ac:dyDescent="0.25">
      <c r="A50" s="7"/>
      <c r="B50" s="28"/>
      <c r="C50" s="8"/>
      <c r="D50" s="9"/>
      <c r="E50" s="8"/>
    </row>
    <row r="51" spans="1:5" ht="18" customHeight="1" x14ac:dyDescent="0.25">
      <c r="A51" s="7"/>
      <c r="B51" s="28"/>
      <c r="C51" s="8"/>
      <c r="D51" s="9"/>
      <c r="E51" s="8"/>
    </row>
    <row r="52" spans="1:5" ht="18" customHeight="1" x14ac:dyDescent="0.25">
      <c r="A52" s="7"/>
      <c r="B52" s="28"/>
      <c r="C52" s="8"/>
      <c r="D52" s="9"/>
      <c r="E52" s="8"/>
    </row>
    <row r="53" spans="1:5" ht="18" customHeight="1" thickBot="1" x14ac:dyDescent="0.3">
      <c r="A53" s="10"/>
      <c r="B53" s="29"/>
      <c r="C53" s="10"/>
      <c r="D53" s="11"/>
      <c r="E53" s="10"/>
    </row>
    <row r="54" spans="1:5" ht="18" customHeight="1" thickBot="1" x14ac:dyDescent="0.3">
      <c r="A54" s="12" t="s">
        <v>12</v>
      </c>
      <c r="B54" s="30"/>
      <c r="C54" s="31"/>
      <c r="D54" s="31"/>
      <c r="E54" s="32"/>
    </row>
    <row r="55" spans="1:5" ht="18" customHeight="1" x14ac:dyDescent="0.25">
      <c r="A55" s="4"/>
      <c r="B55" s="35"/>
      <c r="C55" s="5"/>
      <c r="D55" s="6"/>
      <c r="E55" s="5"/>
    </row>
    <row r="56" spans="1:5" ht="18" customHeight="1" x14ac:dyDescent="0.25">
      <c r="A56" s="7"/>
      <c r="B56" s="28"/>
      <c r="C56" s="8"/>
      <c r="D56" s="9"/>
      <c r="E56" s="8"/>
    </row>
    <row r="57" spans="1:5" ht="18" customHeight="1" x14ac:dyDescent="0.25">
      <c r="A57" s="7"/>
      <c r="B57" s="28"/>
      <c r="C57" s="8"/>
      <c r="D57" s="9"/>
      <c r="E57" s="8"/>
    </row>
    <row r="58" spans="1:5" ht="18" customHeight="1" x14ac:dyDescent="0.25">
      <c r="A58" s="7"/>
      <c r="B58" s="28"/>
      <c r="C58" s="8"/>
      <c r="D58" s="9"/>
      <c r="E58" s="8"/>
    </row>
    <row r="59" spans="1:5" ht="18" customHeight="1" thickBot="1" x14ac:dyDescent="0.3">
      <c r="A59" s="10"/>
      <c r="B59" s="29"/>
      <c r="C59" s="10"/>
      <c r="D59" s="11"/>
      <c r="E59" s="10"/>
    </row>
    <row r="60" spans="1:5" ht="18" customHeight="1" thickBot="1" x14ac:dyDescent="0.3">
      <c r="A60" s="12" t="s">
        <v>12</v>
      </c>
      <c r="B60" s="30"/>
      <c r="C60" s="31"/>
      <c r="D60" s="31"/>
      <c r="E60" s="32"/>
    </row>
    <row r="61" spans="1:5" ht="18" customHeight="1" x14ac:dyDescent="0.25">
      <c r="A61" s="4"/>
      <c r="B61" s="35"/>
      <c r="C61" s="5"/>
      <c r="D61" s="6"/>
      <c r="E61" s="5"/>
    </row>
    <row r="62" spans="1:5" ht="18" customHeight="1" x14ac:dyDescent="0.25">
      <c r="A62" s="7"/>
      <c r="B62" s="28"/>
      <c r="C62" s="8"/>
      <c r="D62" s="9"/>
      <c r="E62" s="8"/>
    </row>
    <row r="63" spans="1:5" ht="18" customHeight="1" x14ac:dyDescent="0.25">
      <c r="A63" s="7"/>
      <c r="B63" s="28"/>
      <c r="C63" s="8"/>
      <c r="D63" s="9"/>
      <c r="E63" s="8"/>
    </row>
    <row r="64" spans="1:5" ht="18" customHeight="1" x14ac:dyDescent="0.25">
      <c r="A64" s="7"/>
      <c r="B64" s="28"/>
      <c r="C64" s="8"/>
      <c r="D64" s="9"/>
      <c r="E64" s="8"/>
    </row>
    <row r="65" spans="1:5" ht="18" customHeight="1" thickBot="1" x14ac:dyDescent="0.3">
      <c r="A65" s="10"/>
      <c r="B65" s="29"/>
      <c r="C65" s="10"/>
      <c r="D65" s="11"/>
      <c r="E65" s="10"/>
    </row>
    <row r="66" spans="1:5" ht="18" customHeight="1" thickBot="1" x14ac:dyDescent="0.3">
      <c r="A66" s="12" t="s">
        <v>12</v>
      </c>
      <c r="B66" s="30"/>
      <c r="C66" s="31"/>
      <c r="D66" s="31"/>
      <c r="E66" s="32"/>
    </row>
    <row r="67" spans="1:5" ht="18" customHeight="1" x14ac:dyDescent="0.25">
      <c r="A67" s="13"/>
      <c r="B67" s="35"/>
      <c r="C67" s="13"/>
      <c r="D67" s="14"/>
      <c r="E67" s="13"/>
    </row>
    <row r="68" spans="1:5" ht="18" customHeight="1" x14ac:dyDescent="0.25">
      <c r="A68" s="8"/>
      <c r="B68" s="28"/>
      <c r="C68" s="8"/>
      <c r="D68" s="9"/>
      <c r="E68" s="8"/>
    </row>
    <row r="69" spans="1:5" ht="18" customHeight="1" x14ac:dyDescent="0.25">
      <c r="A69" s="8"/>
      <c r="B69" s="28"/>
      <c r="C69" s="8"/>
      <c r="D69" s="9"/>
      <c r="E69" s="8"/>
    </row>
    <row r="70" spans="1:5" ht="18" customHeight="1" x14ac:dyDescent="0.25">
      <c r="A70" s="8"/>
      <c r="B70" s="28"/>
      <c r="C70" s="8"/>
      <c r="D70" s="9"/>
      <c r="E70" s="8"/>
    </row>
    <row r="71" spans="1:5" ht="18" customHeight="1" thickBot="1" x14ac:dyDescent="0.3">
      <c r="A71" s="8"/>
      <c r="B71" s="29"/>
      <c r="C71" s="8"/>
      <c r="D71" s="9"/>
      <c r="E71" s="8"/>
    </row>
    <row r="72" spans="1:5" ht="18" customHeight="1" thickBot="1" x14ac:dyDescent="0.3">
      <c r="A72" s="12" t="s">
        <v>12</v>
      </c>
      <c r="B72" s="30"/>
      <c r="C72" s="31"/>
      <c r="D72" s="31"/>
      <c r="E72" s="32"/>
    </row>
    <row r="73" spans="1:5" ht="21" customHeight="1" thickBot="1" x14ac:dyDescent="0.3">
      <c r="A73" s="33" t="s">
        <v>13</v>
      </c>
      <c r="B73" s="34"/>
      <c r="C73" s="15">
        <f>MROUND(SUM(C6:C72) /60,0.2)</f>
        <v>8.2000000000000011</v>
      </c>
      <c r="D73" s="16"/>
      <c r="E73" s="17"/>
    </row>
    <row r="75" spans="1:5" x14ac:dyDescent="0.25">
      <c r="A75" s="18" t="s">
        <v>14</v>
      </c>
    </row>
    <row r="76" spans="1:5" x14ac:dyDescent="0.25">
      <c r="A76" s="18"/>
    </row>
  </sheetData>
  <mergeCells count="25">
    <mergeCell ref="B1:C1"/>
    <mergeCell ref="B2:C2"/>
    <mergeCell ref="B3:C3"/>
    <mergeCell ref="B4:E4"/>
    <mergeCell ref="B67:B71"/>
    <mergeCell ref="B48:E48"/>
    <mergeCell ref="B6:B17"/>
    <mergeCell ref="B18:E18"/>
    <mergeCell ref="B19:B23"/>
    <mergeCell ref="B24:E24"/>
    <mergeCell ref="B25:B29"/>
    <mergeCell ref="B30:E30"/>
    <mergeCell ref="B31:B35"/>
    <mergeCell ref="B36:E36"/>
    <mergeCell ref="B37:B41"/>
    <mergeCell ref="B42:E42"/>
    <mergeCell ref="B43:B47"/>
    <mergeCell ref="B72:E72"/>
    <mergeCell ref="A73:B73"/>
    <mergeCell ref="B49:B53"/>
    <mergeCell ref="B54:E54"/>
    <mergeCell ref="B55:B59"/>
    <mergeCell ref="B60:E60"/>
    <mergeCell ref="B61:B65"/>
    <mergeCell ref="B66:E66"/>
  </mergeCells>
  <dataValidations count="2">
    <dataValidation type="whole" operator="greaterThan" allowBlank="1" showInputMessage="1" showErrorMessage="1" errorTitle="Durée par tranche de 10min" error="Le nombre doit être de type entier" sqref="C61:C65 C55:C59 C43:C47 C49:C53 C25:C29 B6 C19:C23 C31:C35 C37:C41 C67:C71 C6:C17" xr:uid="{345ABA8F-B69F-4AFC-9D0E-D2AB0ACDE277}">
      <formula1>0</formula1>
    </dataValidation>
    <dataValidation type="date" operator="greaterThan" allowBlank="1" showInputMessage="1" showErrorMessage="1" errorTitle="Durée par tranche de 10min" error="Le nombre doit être de type entier" sqref="B19:B23 B25:B29 B31:B35 B37:B41 B43:B47 B49:B53 B55:B59 B61:B65 B67:B71" xr:uid="{7694F886-C01B-440C-B6C8-5FF698F43C26}">
      <formula1>45261</formula1>
    </dataValidation>
  </dataValidations>
  <printOptions horizontalCentered="1"/>
  <pageMargins left="0.51181102362204722" right="0.51181102362204722" top="0.74803149606299213" bottom="0.74803149606299213" header="0.31496062992125984" footer="0.31496062992125984"/>
  <pageSetup paperSize="9" scale="50" orientation="portrait" r:id="rId1"/>
  <headerFooter>
    <oddHeader>&amp;L&amp;"Etml_font,Normal"&amp;22ETML&amp;R&amp;G</oddHeader>
    <oddFooter>&amp;L&amp;14&amp;D&amp;R&amp;14Journal</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8320A-3DEF-4FFB-92B3-3073BCAD0028}">
  <dimension ref="C5:I19"/>
  <sheetViews>
    <sheetView workbookViewId="0">
      <selection activeCell="E20" sqref="E20"/>
    </sheetView>
  </sheetViews>
  <sheetFormatPr baseColWidth="10" defaultRowHeight="13.5" x14ac:dyDescent="0.25"/>
  <cols>
    <col min="6" max="6" width="17" bestFit="1" customWidth="1"/>
    <col min="9" max="9" width="16.28515625" bestFit="1" customWidth="1"/>
  </cols>
  <sheetData>
    <row r="5" spans="3:9" x14ac:dyDescent="0.25">
      <c r="D5" t="s">
        <v>21</v>
      </c>
      <c r="E5" t="s">
        <v>22</v>
      </c>
      <c r="F5" t="s">
        <v>23</v>
      </c>
      <c r="G5" t="s">
        <v>24</v>
      </c>
      <c r="H5" t="s">
        <v>25</v>
      </c>
      <c r="I5" t="s">
        <v>26</v>
      </c>
    </row>
    <row r="6" spans="3:9" x14ac:dyDescent="0.25">
      <c r="C6" t="s">
        <v>27</v>
      </c>
      <c r="D6" s="26">
        <v>0.33333333333333331</v>
      </c>
      <c r="E6" s="26">
        <v>0.47569444444444442</v>
      </c>
      <c r="F6" s="26">
        <v>0.51388888888888884</v>
      </c>
      <c r="G6" s="26">
        <v>0.61458333333333337</v>
      </c>
      <c r="H6" s="26">
        <v>2.0833333333333332E-2</v>
      </c>
      <c r="I6" s="26">
        <v>0.22222222222222221</v>
      </c>
    </row>
    <row r="7" spans="3:9" x14ac:dyDescent="0.25">
      <c r="C7" t="s">
        <v>28</v>
      </c>
      <c r="D7" s="26">
        <v>0</v>
      </c>
      <c r="E7" s="26">
        <v>0</v>
      </c>
      <c r="F7" s="26">
        <v>0</v>
      </c>
      <c r="G7" s="26">
        <v>0</v>
      </c>
      <c r="H7" s="26">
        <v>0</v>
      </c>
      <c r="I7" s="26">
        <v>0</v>
      </c>
    </row>
    <row r="8" spans="3:9" x14ac:dyDescent="0.25">
      <c r="C8" t="s">
        <v>29</v>
      </c>
      <c r="D8" s="26">
        <v>0.33333333333333331</v>
      </c>
      <c r="E8" s="26">
        <v>0.51041666666666663</v>
      </c>
      <c r="F8" s="26">
        <v>0.54861111111111116</v>
      </c>
      <c r="G8" s="26">
        <v>0.69097222222222221</v>
      </c>
      <c r="H8" s="26">
        <v>2.0833333333333332E-2</v>
      </c>
      <c r="I8" s="26">
        <v>0.2986111111111111</v>
      </c>
    </row>
    <row r="9" spans="3:9" x14ac:dyDescent="0.25">
      <c r="C9" t="s">
        <v>30</v>
      </c>
      <c r="D9" s="26">
        <v>0</v>
      </c>
      <c r="E9" s="26">
        <v>0</v>
      </c>
      <c r="F9" s="26">
        <v>0.54861111111111116</v>
      </c>
      <c r="G9" s="26">
        <v>0.69097222222222221</v>
      </c>
      <c r="H9" s="26">
        <v>1.0416666666666666E-2</v>
      </c>
      <c r="I9" s="26">
        <v>0.13194444444444445</v>
      </c>
    </row>
    <row r="10" spans="3:9" x14ac:dyDescent="0.25">
      <c r="C10" t="s">
        <v>31</v>
      </c>
      <c r="D10" s="26">
        <v>0.33333333333333331</v>
      </c>
      <c r="E10" s="26">
        <v>0.51041666666666663</v>
      </c>
      <c r="F10" s="26">
        <v>0.54861111111111116</v>
      </c>
      <c r="G10" s="26">
        <v>0.69097222222222221</v>
      </c>
      <c r="H10" s="26">
        <v>2.0833333333333332E-2</v>
      </c>
      <c r="I10" s="26">
        <v>0.2986111111111111</v>
      </c>
    </row>
    <row r="12" spans="3:9" x14ac:dyDescent="0.25">
      <c r="H12" t="s">
        <v>32</v>
      </c>
      <c r="I12" s="26">
        <v>0.95138888888888884</v>
      </c>
    </row>
    <row r="19" spans="5:5" x14ac:dyDescent="0.25">
      <c r="E19" s="26">
        <f>E6-D6-H6/2</f>
        <v>0.13194444444444445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BB99F57F4D89D439F52EDCD0CED316B" ma:contentTypeVersion="7" ma:contentTypeDescription="Crée un document." ma:contentTypeScope="" ma:versionID="d33ce6f53f467230af3a4d19e3409e37">
  <xsd:schema xmlns:xsd="http://www.w3.org/2001/XMLSchema" xmlns:xs="http://www.w3.org/2001/XMLSchema" xmlns:p="http://schemas.microsoft.com/office/2006/metadata/properties" xmlns:ns2="6b19550a-bdc3-4796-8096-c6911560d534" targetNamespace="http://schemas.microsoft.com/office/2006/metadata/properties" ma:root="true" ma:fieldsID="fd1611c028c4b8e5ae6fe3ffca8b06cf" ns2:_="">
    <xsd:import namespace="6b19550a-bdc3-4796-8096-c6911560d53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b19550a-bdc3-4796-8096-c6911560d53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0568DEC-920F-4A54-AD30-257A3312E4FF}">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38BCAAC0-9C03-42D2-8685-2E30F60CCBAA}">
  <ds:schemaRefs>
    <ds:schemaRef ds:uri="http://schemas.microsoft.com/sharepoint/v3/contenttype/forms"/>
  </ds:schemaRefs>
</ds:datastoreItem>
</file>

<file path=customXml/itemProps3.xml><?xml version="1.0" encoding="utf-8"?>
<ds:datastoreItem xmlns:ds="http://schemas.openxmlformats.org/officeDocument/2006/customXml" ds:itemID="{80685F9E-CFF7-4CE8-86AB-E177C421B2C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b19550a-bdc3-4796-8096-c6911560d53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vt:lpstr>
      <vt:lpstr>Feuil1</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Dimitri Lymberis</dc:creator>
  <cp:keywords/>
  <dc:description/>
  <cp:lastModifiedBy>Thomas Louis Nardou</cp:lastModifiedBy>
  <cp:revision/>
  <dcterms:created xsi:type="dcterms:W3CDTF">1996-10-21T11:03:58Z</dcterms:created>
  <dcterms:modified xsi:type="dcterms:W3CDTF">2026-04-29T09:18:07Z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0x010100FBB99F57F4D89D439F52EDCD0CED316B</vt:lpwstr>
  </property>
  <property fmtid="{D5CDD505-2E9C-101B-9397-08002B2CF9AE}" pid="3" name="Order">
    <vt:r8>195700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ies>
</file>