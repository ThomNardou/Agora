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B0468706-0A23-41BB-8988-265AC781181C}"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Journal!$A$1:$E$97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9" l="1"/>
  <c r="B84" i="18"/>
  <c r="B73" i="18"/>
  <c r="B67" i="18"/>
  <c r="B54" i="18"/>
  <c r="B45" i="18"/>
  <c r="I9" i="19"/>
  <c r="B34" i="18"/>
  <c r="B28" i="18"/>
  <c r="B18" i="18"/>
  <c r="C97" i="18" l="1"/>
</calcChain>
</file>

<file path=xl/sharedStrings.xml><?xml version="1.0" encoding="utf-8"?>
<sst xmlns="http://schemas.openxmlformats.org/spreadsheetml/2006/main" count="171" uniqueCount="120">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</sst>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00"/>
  <sheetViews>
    <sheetView tabSelected="1" view="pageBreakPreview" zoomScaleNormal="100" zoomScaleSheetLayoutView="100" workbookViewId="0">
      <pane xSplit="3" ySplit="5" topLeftCell="D70" activePane="bottomRight" state="frozen"/>
      <selection pane="topRight" activeCell="D1" sqref="D1"/>
      <selection pane="bottomLeft" activeCell="A2" sqref="A2"/>
      <selection pane="bottomRight" activeCell="G4" sqref="G4"/>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row>
    <row r="63" spans="1:5" ht="54" x14ac:dyDescent="0.25">
      <c r="A63" s="28" t="s">
        <v>58</v>
      </c>
      <c r="B63" s="34"/>
      <c r="C63" s="10">
        <v>35</v>
      </c>
      <c r="D63" s="11" t="s">
        <v>101</v>
      </c>
      <c r="E63" s="10" t="s">
        <v>102</v>
      </c>
    </row>
    <row r="64" spans="1:5" x14ac:dyDescent="0.25">
      <c r="A64" s="28" t="s">
        <v>20</v>
      </c>
      <c r="B64" s="34"/>
      <c r="C64" s="10">
        <v>45</v>
      </c>
      <c r="D64" s="11" t="s">
        <v>103</v>
      </c>
      <c r="E64" s="10"/>
    </row>
    <row r="65" spans="1:5" ht="27" x14ac:dyDescent="0.25">
      <c r="A65" s="28" t="s">
        <v>20</v>
      </c>
      <c r="B65" s="34"/>
      <c r="C65" s="10">
        <v>45</v>
      </c>
      <c r="D65" s="11" t="s">
        <v>104</v>
      </c>
      <c r="E65" s="10"/>
    </row>
    <row r="66" spans="1:5" ht="18" customHeight="1" thickBot="1" x14ac:dyDescent="0.3">
      <c r="A66" s="10"/>
      <c r="B66" s="35"/>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33">
        <v>46149</v>
      </c>
      <c r="C68" s="5">
        <v>60</v>
      </c>
      <c r="D68" s="6" t="s">
        <v>105</v>
      </c>
      <c r="E68" s="5"/>
    </row>
    <row r="69" spans="1:5" ht="54" x14ac:dyDescent="0.25">
      <c r="A69" s="7" t="s">
        <v>106</v>
      </c>
      <c r="B69" s="34"/>
      <c r="C69" s="8">
        <v>60</v>
      </c>
      <c r="D69" s="9" t="s">
        <v>107</v>
      </c>
      <c r="E69" s="8"/>
    </row>
    <row r="70" spans="1:5" ht="81" x14ac:dyDescent="0.25">
      <c r="A70" s="7" t="s">
        <v>108</v>
      </c>
      <c r="B70" s="34"/>
      <c r="C70" s="8">
        <v>55</v>
      </c>
      <c r="D70" s="9" t="s">
        <v>109</v>
      </c>
      <c r="E70" s="8"/>
    </row>
    <row r="71" spans="1:5" ht="18" customHeight="1" x14ac:dyDescent="0.25">
      <c r="A71" s="7" t="s">
        <v>38</v>
      </c>
      <c r="B71" s="34"/>
      <c r="C71" s="8">
        <v>15</v>
      </c>
      <c r="D71" s="9" t="s">
        <v>110</v>
      </c>
      <c r="E71" s="8"/>
    </row>
    <row r="72" spans="1:5" ht="18" customHeight="1" thickBot="1" x14ac:dyDescent="0.3">
      <c r="A72" s="10"/>
      <c r="B72" s="35"/>
      <c r="C72" s="10"/>
      <c r="D72" s="11"/>
      <c r="E72" s="10"/>
    </row>
    <row r="73" spans="1:5" ht="18" customHeight="1" thickBot="1" x14ac:dyDescent="0.3">
      <c r="A73" s="12" t="s">
        <v>12</v>
      </c>
      <c r="B73" s="36" t="str">
        <f>INT(SUM(C68:C72)/60)&amp;"h"&amp;MOD(SUM(C68:C72),60)</f>
        <v>3h10</v>
      </c>
      <c r="C73" s="37"/>
      <c r="D73" s="37"/>
      <c r="E73" s="38"/>
    </row>
    <row r="74" spans="1:5" ht="40.5" x14ac:dyDescent="0.25">
      <c r="A74" s="4" t="s">
        <v>93</v>
      </c>
      <c r="B74" s="33">
        <v>46150</v>
      </c>
      <c r="C74" s="5">
        <v>10</v>
      </c>
      <c r="D74" s="6" t="s">
        <v>111</v>
      </c>
      <c r="E74" s="5"/>
    </row>
    <row r="75" spans="1:5" ht="27" x14ac:dyDescent="0.25">
      <c r="A75" s="7" t="s">
        <v>38</v>
      </c>
      <c r="B75" s="34"/>
      <c r="C75" s="8">
        <v>50</v>
      </c>
      <c r="D75" s="9" t="s">
        <v>112</v>
      </c>
      <c r="E75" s="8"/>
    </row>
    <row r="76" spans="1:5" ht="18" customHeight="1" x14ac:dyDescent="0.25">
      <c r="A76" s="7" t="s">
        <v>38</v>
      </c>
      <c r="B76" s="34"/>
      <c r="C76" s="8">
        <v>35</v>
      </c>
      <c r="D76" s="9" t="s">
        <v>113</v>
      </c>
      <c r="E76" s="8"/>
    </row>
    <row r="77" spans="1:5" ht="27" x14ac:dyDescent="0.25">
      <c r="A77" s="7" t="s">
        <v>114</v>
      </c>
      <c r="B77" s="34"/>
      <c r="C77" s="8">
        <v>60</v>
      </c>
      <c r="D77" s="9" t="s">
        <v>115</v>
      </c>
      <c r="E77" s="8"/>
    </row>
    <row r="78" spans="1:5" x14ac:dyDescent="0.25">
      <c r="A78" s="28" t="s">
        <v>114</v>
      </c>
      <c r="B78" s="34"/>
      <c r="C78" s="10">
        <v>60</v>
      </c>
      <c r="D78" s="11" t="s">
        <v>116</v>
      </c>
      <c r="E78" s="10"/>
    </row>
    <row r="79" spans="1:5" x14ac:dyDescent="0.25">
      <c r="A79" s="28" t="s">
        <v>38</v>
      </c>
      <c r="B79" s="34"/>
      <c r="C79" s="10">
        <v>25</v>
      </c>
      <c r="D79" s="11" t="s">
        <v>117</v>
      </c>
      <c r="E79" s="10"/>
    </row>
    <row r="80" spans="1:5" ht="27" x14ac:dyDescent="0.25">
      <c r="A80" s="28" t="s">
        <v>38</v>
      </c>
      <c r="B80" s="34"/>
      <c r="C80" s="10">
        <v>60</v>
      </c>
      <c r="D80" s="11" t="s">
        <v>118</v>
      </c>
      <c r="E80" s="10"/>
    </row>
    <row r="81" spans="1:5" x14ac:dyDescent="0.25">
      <c r="A81" s="28" t="s">
        <v>38</v>
      </c>
      <c r="B81" s="34"/>
      <c r="C81" s="10">
        <v>60</v>
      </c>
      <c r="D81" s="11" t="s">
        <v>113</v>
      </c>
      <c r="E81" s="10"/>
    </row>
    <row r="82" spans="1:5" x14ac:dyDescent="0.25">
      <c r="A82" s="28" t="s">
        <v>38</v>
      </c>
      <c r="B82" s="34"/>
      <c r="C82" s="10">
        <v>60</v>
      </c>
      <c r="D82" s="11" t="s">
        <v>119</v>
      </c>
      <c r="E82" s="10"/>
    </row>
    <row r="83" spans="1:5" ht="18" customHeight="1" thickBot="1" x14ac:dyDescent="0.3">
      <c r="A83" s="10"/>
      <c r="B83" s="35"/>
      <c r="C83" s="10">
        <v>10</v>
      </c>
      <c r="D83" s="11" t="s">
        <v>119</v>
      </c>
      <c r="E83" s="10"/>
    </row>
    <row r="84" spans="1:5" ht="18" customHeight="1" thickBot="1" x14ac:dyDescent="0.3">
      <c r="A84" s="12" t="s">
        <v>12</v>
      </c>
      <c r="B84" s="36" t="str">
        <f>INT(SUM(C74:C83)/60)&amp;"h"&amp;MOD(SUM(C74:C83),60)</f>
        <v>7h10</v>
      </c>
      <c r="C84" s="37"/>
      <c r="D84" s="37"/>
      <c r="E84" s="38"/>
    </row>
    <row r="85" spans="1:5" ht="18" customHeight="1" x14ac:dyDescent="0.25">
      <c r="A85" s="4"/>
      <c r="B85" s="41"/>
      <c r="C85" s="5"/>
      <c r="D85" s="6"/>
      <c r="E85" s="5"/>
    </row>
    <row r="86" spans="1:5" ht="18" customHeight="1" x14ac:dyDescent="0.25">
      <c r="A86" s="7"/>
      <c r="B86" s="34"/>
      <c r="C86" s="8"/>
      <c r="D86" s="9"/>
      <c r="E86" s="8"/>
    </row>
    <row r="87" spans="1:5" ht="18" customHeight="1" x14ac:dyDescent="0.25">
      <c r="A87" s="7"/>
      <c r="B87" s="34"/>
      <c r="C87" s="8"/>
      <c r="D87" s="9"/>
      <c r="E87" s="8"/>
    </row>
    <row r="88" spans="1:5" ht="18" customHeight="1" x14ac:dyDescent="0.25">
      <c r="A88" s="7"/>
      <c r="B88" s="34"/>
      <c r="C88" s="8"/>
      <c r="D88" s="9"/>
      <c r="E88" s="8"/>
    </row>
    <row r="89" spans="1:5" ht="18" customHeight="1" thickBot="1" x14ac:dyDescent="0.3">
      <c r="A89" s="10"/>
      <c r="B89" s="35"/>
      <c r="C89" s="10"/>
      <c r="D89" s="11"/>
      <c r="E89" s="10"/>
    </row>
    <row r="90" spans="1:5" ht="18" customHeight="1" thickBot="1" x14ac:dyDescent="0.3">
      <c r="A90" s="12" t="s">
        <v>12</v>
      </c>
      <c r="B90" s="36"/>
      <c r="C90" s="37"/>
      <c r="D90" s="37"/>
      <c r="E90" s="38"/>
    </row>
    <row r="91" spans="1:5" ht="18" customHeight="1" x14ac:dyDescent="0.25">
      <c r="A91" s="13"/>
      <c r="B91" s="41"/>
      <c r="C91" s="13"/>
      <c r="D91" s="14"/>
      <c r="E91" s="13"/>
    </row>
    <row r="92" spans="1:5" ht="18" customHeight="1" x14ac:dyDescent="0.25">
      <c r="A92" s="8"/>
      <c r="B92" s="34"/>
      <c r="C92" s="8"/>
      <c r="D92" s="9"/>
      <c r="E92" s="8"/>
    </row>
    <row r="93" spans="1:5" ht="18" customHeight="1" x14ac:dyDescent="0.25">
      <c r="A93" s="8"/>
      <c r="B93" s="34"/>
      <c r="C93" s="8"/>
      <c r="D93" s="9"/>
      <c r="E93" s="8"/>
    </row>
    <row r="94" spans="1:5" ht="18" customHeight="1" x14ac:dyDescent="0.25">
      <c r="A94" s="8"/>
      <c r="B94" s="34"/>
      <c r="C94" s="8"/>
      <c r="D94" s="9"/>
      <c r="E94" s="8"/>
    </row>
    <row r="95" spans="1:5" ht="18" customHeight="1" thickBot="1" x14ac:dyDescent="0.3">
      <c r="A95" s="8"/>
      <c r="B95" s="35"/>
      <c r="C95" s="8"/>
      <c r="D95" s="9"/>
      <c r="E95" s="8"/>
    </row>
    <row r="96" spans="1:5" ht="18" customHeight="1" thickBot="1" x14ac:dyDescent="0.3">
      <c r="A96" s="12" t="s">
        <v>12</v>
      </c>
      <c r="B96" s="36"/>
      <c r="C96" s="37"/>
      <c r="D96" s="37"/>
      <c r="E96" s="38"/>
    </row>
    <row r="97" spans="1:5" ht="21" customHeight="1" thickBot="1" x14ac:dyDescent="0.3">
      <c r="A97" s="39" t="s">
        <v>13</v>
      </c>
      <c r="B97" s="40"/>
      <c r="C97" s="15">
        <f>MROUND(SUM(C6:C96) /60,0.2)</f>
        <v>45.6</v>
      </c>
      <c r="D97" s="16"/>
      <c r="E97" s="17"/>
    </row>
    <row r="99" spans="1:5" x14ac:dyDescent="0.25">
      <c r="A99" s="18" t="s">
        <v>14</v>
      </c>
    </row>
    <row r="100" spans="1:5" x14ac:dyDescent="0.25">
      <c r="A100" s="18"/>
    </row>
  </sheetData>
  <mergeCells count="25">
    <mergeCell ref="B1:C1"/>
    <mergeCell ref="B2:C2"/>
    <mergeCell ref="B3:C3"/>
    <mergeCell ref="B4:E4"/>
    <mergeCell ref="B91:B95"/>
    <mergeCell ref="B67:E67"/>
    <mergeCell ref="B6:B17"/>
    <mergeCell ref="B18:E18"/>
    <mergeCell ref="B19:B27"/>
    <mergeCell ref="B28:E28"/>
    <mergeCell ref="B29:B33"/>
    <mergeCell ref="B34:E34"/>
    <mergeCell ref="B35:B44"/>
    <mergeCell ref="B45:E45"/>
    <mergeCell ref="B46:B53"/>
    <mergeCell ref="B54:E54"/>
    <mergeCell ref="B55:B66"/>
    <mergeCell ref="B96:E96"/>
    <mergeCell ref="A97:B97"/>
    <mergeCell ref="B68:B72"/>
    <mergeCell ref="B73:E73"/>
    <mergeCell ref="B74:B83"/>
    <mergeCell ref="B84:E84"/>
    <mergeCell ref="B85:B89"/>
    <mergeCell ref="B90:E90"/>
  </mergeCells>
  <dataValidations count="2">
    <dataValidation type="whole" operator="greaterThan" allowBlank="1" showInputMessage="1" showErrorMessage="1" errorTitle="Durée par tranche de 10min" error="Le nombre doit être de type entier" sqref="C85:C89 C74:C83 C55:C66 C68:C72 C29:C33 B6 C6:C17 C35:C44 C46:C53 C91:C95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89 B91:B95"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4"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5" sqref="E15"/>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E8-D8</f>
        <v>0.17708333333333331</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2026-05-08T14:13:28Z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