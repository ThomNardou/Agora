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2FA50091-E9B2-47F6-934D-8C765A73E3C5}"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Journal!$A$1:$E$98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 i="19" l="1"/>
  <c r="B91" i="18"/>
  <c r="B84" i="18"/>
  <c r="B73" i="18"/>
  <c r="B67" i="18"/>
  <c r="B54" i="18"/>
  <c r="B45" i="18"/>
  <c r="I9" i="19"/>
  <c r="B34" i="18"/>
  <c r="B28" i="18"/>
  <c r="B18" i="18"/>
  <c r="C98" i="18" l="1"/>
</calcChain>
</file>

<file path=xl/sharedStrings.xml><?xml version="1.0" encoding="utf-8"?>
<sst xmlns="http://schemas.openxmlformats.org/spreadsheetml/2006/main" count="182" uniqueCount="124">
  <si>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</si>
  <si>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</si>
  <si>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</si>
  <si>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</si>
  <si>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</si>
  <si>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</si>
  <si>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</si>
  <si>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</si>
  <si>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</si>
  <si>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</si>
  <si>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</si>
  <si>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</si>
  <si>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</si>
  <si>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</si>
  <si>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</si>
  <si>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</si>
  <si>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</si>
  <si>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</si>
  <si>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</si>
  <si>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</si>
  <si>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</si>
  <si>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</si>
  <si>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</si>
  <si>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</si>
  <si>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</si>
  <si>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</si>
  <si>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</si>
  <si>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</si>
  <si>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</si>
  <si>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</si>
  <si>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</si>
  <si>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</si>
  <si>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</si>
  <si>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</si>
  <si>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</si>
  <si>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</si>
  <si>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</si>
  <si>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</si>
  <si>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</si>
  <si>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</si>
  <si>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</si>
  <si>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</si>
  <si>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</si>
  <si>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</si>
  <si>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</si>
  <si>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</si>
  <si>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</si>
  <si>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</si>
  <si>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</si>
  <si>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</si>
  <si>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</si>
  <si>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</si>
  <si>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</si>
  <si>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</si>
  <si>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</si>
  <si>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</si>
  <si>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</si>
  <si>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</si>
  <si>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</si>
  <si>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J'ai fait quelque ajustement au niveau de la page et j'ai aussi fait la page de politique de confidentialité (fait par IA)</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</si>
  <si>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</si>
  <si>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</si>
  <si>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</si>
  <si>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</si>
  <si>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</si>
  <si>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</si>
  <si>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</si>
  <si>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</si>
  <si>
    <t xml:space="preserve">J'ai continué mon rapport </t>
  </si>
  <si>
    <t>J'ai avancé dans mon rapport j'ai notament fait la partie explication du système d'auth des admin et la aprtie des choix technnique</t>
  </si>
  <si>
    <t>Système de login</t>
  </si>
  <si>
    <t>J'ai fait le système de login pour les admins</t>
  </si>
  <si>
    <t>Dashboard</t>
  </si>
  <si>
    <t>J'ai commencé le dashboard</t>
  </si>
  <si>
    <t>J'ai fais l'affichage des datas dans le dashboard</t>
  </si>
  <si>
    <t>J'ai terminé la page d'accueil du dashboard</t>
  </si>
  <si>
    <t>CRON</t>
  </si>
  <si>
    <t xml:space="preserve">J'ai commencé à me renseigner j'ai déjà réflchis comment j'allais et enfaite je me suis dis que j'allais lancer un script au démarrage qui va s'executer toutes les x minutes et va envoyé </t>
  </si>
  <si>
    <t>J'ai une petite base pour le script mais il n'est pas encore fonctionnel</t>
  </si>
  <si>
    <t xml:space="preserve">J'ai presque terminé le script </t>
  </si>
  <si>
    <t>J'ai fais quelques modification notament la limite d'echec avant de dire qu'une campagne à échouée</t>
  </si>
  <si>
    <t>J'ai fais un schéma qui explique comment mon scipt fonctionne</t>
  </si>
  <si>
    <t>J'ai modifié certain point de mon rapport pour qu'ils corspondent à mon CDC</t>
  </si>
  <si>
    <t>Pixel tracking</t>
  </si>
  <si>
    <t xml:space="preserve">Je suis entrain de travailler sur le pixel tracking mais je but sur un petit problème qui est que vu que mon environnement est local le mail ne charge pas l'image </t>
  </si>
  <si>
    <t>J'ai terminé le système de tacking par pixel pour tester c'est que j'ai ouvert le lien directement depuis mon navigateur</t>
  </si>
  <si>
    <t>Link tracking</t>
  </si>
  <si>
    <t xml:space="preserve">Je me suis renseigner sur la réecriture des lien et je me suis servit de l'IA pour qu'elle me donne les regex et aussi pour que les lien affiché soient toujours ce que l'utilisateur veut par exemple :
si il met ca [Duck Duck Go](https://duckduckgo.com) le html affichera Duck Duck go avec comme lien le lien réecrit
Si il met juste ca https://duckduckgo.com alors ce sera juste le texte affiché et derrière sera le lien réecrit </t>
  </si>
  <si>
    <t>création</t>
  </si>
  <si>
    <t>J'ai commencé la page de création d'un campagne</t>
  </si>
  <si>
    <t>creation</t>
  </si>
  <si>
    <t>J'ai continué mon editeur simple et j'ai presque terminé</t>
  </si>
  <si>
    <t>J'ai terminé la page de création mais j'ai un problème avec mon API</t>
  </si>
  <si>
    <t>Modification</t>
  </si>
  <si>
    <t>J'ai ajouté le sstème de modification d'une campagne</t>
  </si>
  <si>
    <t>Page des détails</t>
  </si>
  <si>
    <t>J'ai commencé la page de détails d'une campagne</t>
  </si>
  <si>
    <t>J'ai contuné la page des détails</t>
  </si>
  <si>
    <t>Discussion avec Expert 2</t>
  </si>
  <si>
    <t>J'ai eu la visite du deuxième expert afin de faire le point</t>
  </si>
  <si>
    <t>J'ai terminé la page des détails</t>
  </si>
  <si>
    <t>J'ai demandé à l'IA si il y a avait des choses qui allais à l'encontre du RGPD/LPD et il y avait effectivement quelques petits point à modifié notament au niveau du tracking ou je ne peux pas relier un utilisateur à un "track" sans son consentement j'ai donc pris la decission d'enlever les relation avec la table readers</t>
  </si>
  <si>
    <t>https://www.privacy-regulation.eu/fr/6.htm</t>
  </si>
  <si>
    <t>Je suis entrain de travailler sur la partie planification d'une campagne</t>
  </si>
  <si>
    <t>J'ai terminé la planification d'une campagne et jai commencé l'envoie mais j'ai pas encore temriné j'ai quelques soucis</t>
  </si>
  <si>
    <t>J'ai fais quelques ajustement au niveau de l'app ou j'ai notament ajouté la possiblité de delete des campagne/lecteur (j'avais oublié de le faire)</t>
  </si>
  <si>
    <t>Disccussion + ajustement</t>
  </si>
  <si>
    <t>J'ai continué mes ajustement et j'ai notament discuté avec M. Melly histoire de faire un point de situation il m'a notament fais la remsrque de mettre de colone en plus dans la table de campagne et de laissé 30s de delais pour supprimer une campagne qui vient d'être envoyé</t>
  </si>
  <si>
    <t>discussion</t>
  </si>
  <si>
    <t>J'ai fait les ajustement voulu (colone en plus pour le nombre d'envoi et de click) par M. Melly et j'ai aussi reglé quelques petit bugs et j'ai discuté concernant les 30s avant l'envoie et on en a conclu que je devais abondonner cette partie car le script ne me premet pas de une : connaitre précisement la prochaine execution du script de deux, si au moment il veut supprimer ne pas excuter le script pour la campagne et la supprimer</t>
  </si>
  <si>
    <t>J'ai un peu avancer sur mon rapport</t>
  </si>
  <si>
    <t>J'ai modifié (suite à la demande de M. Melly) le fait d'envoyé une campagne maintenant, elle est mise en "planifiée" pour 5min plus tard pour laissé le temps à l'utilisateur de l'annuler</t>
  </si>
  <si>
    <t>J'ai avancé dans mon rapport ou j'ai notament modifé la partie pour la DB car j'avais fait quelques changement</t>
  </si>
  <si>
    <t>J'ai continué mon rapport</t>
  </si>
  <si>
    <t>TEST</t>
  </si>
  <si>
    <t xml:space="preserve">J'ai fais une liste des test unitaire à faire et pour gagner du temps j'ai demandé à l'IA de me convertir ca en code </t>
  </si>
  <si>
    <t>J'ai fais quelques modification dans mes tests</t>
  </si>
  <si>
    <t>Je suis entrain de rediger la partie des tests</t>
  </si>
  <si>
    <t>J'ai fais quelques ajustement sur mon rapport et j'ai aussi rédiger ma stratégie de tests</t>
  </si>
  <si>
    <t>"</t>
  </si>
  <si>
    <t xml:space="preserve">J'ai fait une petite relecture </t>
  </si>
  <si>
    <t>Système de renvoi</t>
  </si>
  <si>
    <t xml:space="preserve">J'ai commencé le système de renvoi si une campagne est échouée </t>
  </si>
  <si>
    <t>J'ai commencé la rédaction de la conclusion du rapport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</si>
</sst>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6">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3" fillId="0" borderId="9" xfId="1" applyFont="1" applyFill="1" applyBorder="1" applyAlignment="1" applyProtection="1">
      <alignment horizontal="center" vertical="center" wrapText="1"/>
      <protection locked="0"/>
    </xf>
    <xf numFmtId="20" fontId="3" fillId="0" borderId="9" xfId="0" applyNumberFormat="1" applyFont="1" applyBorder="1" applyAlignment="1" applyProtection="1">
      <alignment horizontal="center" vertical="center" wrapText="1"/>
      <protection locked="0"/>
    </xf>
    <xf numFmtId="20" fontId="3" fillId="0" borderId="9" xfId="0" applyNumberFormat="1" applyFont="1" applyBorder="1" applyAlignment="1" applyProtection="1">
      <alignment horizontal="left" vertical="center" wrapText="1"/>
      <protection locked="0"/>
    </xf>
    <xf numFmtId="20" fontId="3" fillId="0" borderId="2" xfId="0" applyNumberFormat="1" applyFont="1" applyBorder="1" applyAlignment="1" applyProtection="1">
      <alignment horizontal="center" vertical="center" wrapText="1"/>
      <protection locked="0"/>
    </xf>
    <xf numFmtId="20" fontId="3" fillId="0" borderId="2" xfId="0" applyNumberFormat="1" applyFont="1" applyBorder="1" applyAlignment="1" applyProtection="1">
      <alignment horizontal="left" vertical="center" wrapText="1"/>
      <protection locked="0"/>
    </xf>
    <xf numFmtId="14" fontId="3" fillId="0" borderId="7"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0" fontId="3" fillId="0" borderId="7" xfId="0" applyFont="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101"/>
  <sheetViews>
    <sheetView tabSelected="1" view="pageBreakPreview" zoomScaleNormal="100" zoomScaleSheetLayoutView="100" workbookViewId="0">
      <pane xSplit="3" ySplit="5" topLeftCell="D76" activePane="bottomRight" state="frozen"/>
      <selection pane="topRight" activeCell="D1" sqref="D1"/>
      <selection pane="bottomLeft" activeCell="A2" sqref="A2"/>
      <selection pane="bottomRight" activeCell="A90" sqref="A90"/>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42" t="s">
        <v>15</v>
      </c>
      <c r="C1" s="42"/>
      <c r="D1" s="22" t="s">
        <v>1</v>
      </c>
      <c r="E1" s="20" t="s">
        <v>33</v>
      </c>
    </row>
    <row r="2" spans="1:7" ht="21" customHeight="1" thickBot="1" x14ac:dyDescent="0.3">
      <c r="A2" s="21" t="s">
        <v>2</v>
      </c>
      <c r="B2" s="42" t="s">
        <v>16</v>
      </c>
      <c r="C2" s="42"/>
      <c r="D2" s="22" t="s">
        <v>3</v>
      </c>
      <c r="E2" s="20" t="s">
        <v>34</v>
      </c>
    </row>
    <row r="3" spans="1:7" ht="21" customHeight="1" x14ac:dyDescent="0.25">
      <c r="A3" s="21" t="s">
        <v>4</v>
      </c>
      <c r="B3" s="42" t="s">
        <v>17</v>
      </c>
      <c r="C3" s="42"/>
      <c r="D3" s="22" t="s">
        <v>5</v>
      </c>
      <c r="E3" s="19" t="s">
        <v>35</v>
      </c>
    </row>
    <row r="4" spans="1:7" ht="21" customHeight="1" x14ac:dyDescent="0.25">
      <c r="A4" s="21" t="s">
        <v>6</v>
      </c>
      <c r="B4" s="43" t="s">
        <v>36</v>
      </c>
      <c r="C4" s="44"/>
      <c r="D4" s="44"/>
      <c r="E4" s="45"/>
    </row>
    <row r="5" spans="1:7" ht="21" customHeight="1" thickBot="1" x14ac:dyDescent="0.3">
      <c r="A5" s="2" t="s">
        <v>7</v>
      </c>
      <c r="B5" s="3" t="s">
        <v>8</v>
      </c>
      <c r="C5" s="3" t="s">
        <v>9</v>
      </c>
      <c r="D5" s="2" t="s">
        <v>10</v>
      </c>
      <c r="E5" s="2" t="s">
        <v>11</v>
      </c>
    </row>
    <row r="6" spans="1:7" ht="18" customHeight="1" x14ac:dyDescent="0.25">
      <c r="A6" s="4" t="s">
        <v>18</v>
      </c>
      <c r="B6" s="33">
        <v>46139</v>
      </c>
      <c r="C6" s="5">
        <v>20</v>
      </c>
      <c r="D6" s="6"/>
      <c r="E6" s="23"/>
    </row>
    <row r="7" spans="1:7" ht="18" customHeight="1" x14ac:dyDescent="0.25">
      <c r="A7" s="7" t="s">
        <v>19</v>
      </c>
      <c r="B7" s="34"/>
      <c r="C7" s="8">
        <v>30</v>
      </c>
      <c r="D7" s="9" t="s">
        <v>37</v>
      </c>
      <c r="E7" s="8"/>
    </row>
    <row r="8" spans="1:7" ht="18" customHeight="1" x14ac:dyDescent="0.25">
      <c r="A8" s="7" t="s">
        <v>20</v>
      </c>
      <c r="B8" s="34"/>
      <c r="C8" s="8">
        <v>30</v>
      </c>
      <c r="D8" s="9"/>
      <c r="E8" s="8" t="s">
        <v>41</v>
      </c>
    </row>
    <row r="9" spans="1:7" ht="18" customHeight="1" x14ac:dyDescent="0.25">
      <c r="A9" s="7" t="s">
        <v>20</v>
      </c>
      <c r="B9" s="34"/>
      <c r="C9" s="8">
        <v>10</v>
      </c>
      <c r="D9" s="9"/>
      <c r="E9" s="8"/>
    </row>
    <row r="10" spans="1:7" ht="18" customHeight="1" x14ac:dyDescent="0.25">
      <c r="A10" s="7" t="s">
        <v>20</v>
      </c>
      <c r="B10" s="34"/>
      <c r="C10" s="10">
        <v>20</v>
      </c>
      <c r="D10" s="11"/>
      <c r="E10" s="10"/>
      <c r="F10" s="24"/>
      <c r="G10" s="24"/>
    </row>
    <row r="11" spans="1:7" ht="18" customHeight="1" x14ac:dyDescent="0.25">
      <c r="A11" s="7" t="s">
        <v>20</v>
      </c>
      <c r="B11" s="34"/>
      <c r="C11" s="10">
        <v>20</v>
      </c>
      <c r="D11" s="11" t="s">
        <v>39</v>
      </c>
      <c r="E11" s="10"/>
      <c r="F11" s="24"/>
      <c r="G11" s="24"/>
    </row>
    <row r="12" spans="1:7" x14ac:dyDescent="0.25">
      <c r="A12" s="7" t="s">
        <v>38</v>
      </c>
      <c r="B12" s="34"/>
      <c r="C12" s="10">
        <v>60</v>
      </c>
      <c r="D12" s="11" t="s">
        <v>40</v>
      </c>
      <c r="E12" s="10"/>
      <c r="F12" s="24"/>
      <c r="G12" s="24"/>
    </row>
    <row r="13" spans="1:7" ht="40.5" x14ac:dyDescent="0.25">
      <c r="A13" s="7" t="s">
        <v>43</v>
      </c>
      <c r="B13" s="34"/>
      <c r="C13" s="10">
        <v>10</v>
      </c>
      <c r="D13" s="11" t="s">
        <v>44</v>
      </c>
      <c r="E13" s="10"/>
      <c r="F13" s="24"/>
      <c r="G13" s="24"/>
    </row>
    <row r="14" spans="1:7" ht="27" x14ac:dyDescent="0.25">
      <c r="A14" s="7" t="s">
        <v>45</v>
      </c>
      <c r="B14" s="34"/>
      <c r="C14" s="10">
        <v>60</v>
      </c>
      <c r="D14" s="11" t="s">
        <v>46</v>
      </c>
      <c r="E14" s="10"/>
      <c r="F14" s="24"/>
      <c r="G14" s="24"/>
    </row>
    <row r="15" spans="1:7" ht="40.5" x14ac:dyDescent="0.25">
      <c r="A15" s="7" t="s">
        <v>38</v>
      </c>
      <c r="B15" s="34"/>
      <c r="C15" s="10">
        <v>40</v>
      </c>
      <c r="D15" s="11" t="s">
        <v>42</v>
      </c>
      <c r="E15" s="10"/>
      <c r="F15" s="24"/>
      <c r="G15" s="24"/>
    </row>
    <row r="16" spans="1:7" x14ac:dyDescent="0.25">
      <c r="A16" s="7" t="s">
        <v>45</v>
      </c>
      <c r="B16" s="34"/>
      <c r="C16" s="10">
        <v>20</v>
      </c>
      <c r="D16" s="11" t="s">
        <v>47</v>
      </c>
      <c r="E16" s="10"/>
      <c r="F16" s="24"/>
      <c r="G16" s="24"/>
    </row>
    <row r="17" spans="1:7" ht="14.25" thickBot="1" x14ac:dyDescent="0.3">
      <c r="A17" s="7"/>
      <c r="B17" s="35"/>
      <c r="C17" s="10"/>
      <c r="D17" s="11"/>
      <c r="E17" s="10"/>
    </row>
    <row r="18" spans="1:7" ht="18" customHeight="1" thickBot="1" x14ac:dyDescent="0.3">
      <c r="A18" s="12" t="s">
        <v>12</v>
      </c>
      <c r="B18" s="36" t="str">
        <f>INT(SUM(C6:C17)/60)&amp;"h"&amp;MOD(SUM(C6:C17),60)</f>
        <v>5h20</v>
      </c>
      <c r="C18" s="37"/>
      <c r="D18" s="37"/>
      <c r="E18" s="38"/>
    </row>
    <row r="19" spans="1:7" ht="18" customHeight="1" x14ac:dyDescent="0.25">
      <c r="A19" s="4" t="s">
        <v>20</v>
      </c>
      <c r="B19" s="33">
        <v>46141</v>
      </c>
      <c r="C19" s="5">
        <v>40</v>
      </c>
      <c r="D19" s="6" t="s">
        <v>48</v>
      </c>
      <c r="E19" s="5"/>
    </row>
    <row r="20" spans="1:7" ht="27" x14ac:dyDescent="0.25">
      <c r="A20" s="7" t="s">
        <v>45</v>
      </c>
      <c r="B20" s="34"/>
      <c r="C20" s="8">
        <v>55</v>
      </c>
      <c r="D20" s="9" t="s">
        <v>49</v>
      </c>
      <c r="E20" s="8"/>
    </row>
    <row r="21" spans="1:7" ht="18" customHeight="1" x14ac:dyDescent="0.2">
      <c r="A21" s="7" t="s">
        <v>45</v>
      </c>
      <c r="B21" s="34"/>
      <c r="C21" s="8">
        <v>40</v>
      </c>
      <c r="D21" s="9" t="s">
        <v>50</v>
      </c>
      <c r="E21" s="8"/>
      <c r="G21" s="25"/>
    </row>
    <row r="22" spans="1:7" ht="18" customHeight="1" x14ac:dyDescent="0.25">
      <c r="A22" s="7" t="s">
        <v>45</v>
      </c>
      <c r="B22" s="34"/>
      <c r="C22" s="8">
        <v>45</v>
      </c>
      <c r="D22" s="9" t="s">
        <v>51</v>
      </c>
      <c r="E22" s="8"/>
    </row>
    <row r="23" spans="1:7" ht="27" x14ac:dyDescent="0.25">
      <c r="A23" s="10" t="s">
        <v>52</v>
      </c>
      <c r="B23" s="34"/>
      <c r="C23" s="10">
        <v>60</v>
      </c>
      <c r="D23" s="11" t="s">
        <v>53</v>
      </c>
      <c r="E23" s="10"/>
    </row>
    <row r="24" spans="1:7" x14ac:dyDescent="0.25">
      <c r="A24" s="10" t="s">
        <v>52</v>
      </c>
      <c r="B24" s="34"/>
      <c r="C24" s="10">
        <v>60</v>
      </c>
      <c r="D24" s="11" t="s">
        <v>54</v>
      </c>
      <c r="E24" s="10"/>
    </row>
    <row r="25" spans="1:7" ht="40.5" x14ac:dyDescent="0.25">
      <c r="A25" s="10" t="s">
        <v>52</v>
      </c>
      <c r="B25" s="34"/>
      <c r="C25" s="10">
        <v>30</v>
      </c>
      <c r="D25" s="11" t="s">
        <v>55</v>
      </c>
      <c r="E25" s="10"/>
    </row>
    <row r="26" spans="1:7" x14ac:dyDescent="0.25">
      <c r="A26" s="10" t="s">
        <v>56</v>
      </c>
      <c r="B26" s="34"/>
      <c r="C26" s="10">
        <v>60</v>
      </c>
      <c r="D26" s="11" t="s">
        <v>57</v>
      </c>
      <c r="E26" s="10"/>
    </row>
    <row r="27" spans="1:7" ht="27.75" thickBot="1" x14ac:dyDescent="0.3">
      <c r="A27" s="10" t="s">
        <v>58</v>
      </c>
      <c r="B27" s="35"/>
      <c r="C27" s="10">
        <v>40</v>
      </c>
      <c r="D27" s="11" t="s">
        <v>59</v>
      </c>
      <c r="E27" s="10"/>
    </row>
    <row r="28" spans="1:7" ht="18" customHeight="1" thickBot="1" x14ac:dyDescent="0.3">
      <c r="A28" s="12" t="s">
        <v>12</v>
      </c>
      <c r="B28" s="36" t="str">
        <f>INT(SUM(C19:C27)/60)&amp;"h"&amp;MOD(SUM(C19:C27),60)</f>
        <v>7h10</v>
      </c>
      <c r="C28" s="37"/>
      <c r="D28" s="37"/>
      <c r="E28" s="38"/>
    </row>
    <row r="29" spans="1:7" ht="18" customHeight="1" x14ac:dyDescent="0.25">
      <c r="A29" s="4" t="s">
        <v>60</v>
      </c>
      <c r="B29" s="33">
        <v>46142</v>
      </c>
      <c r="C29" s="5">
        <v>60</v>
      </c>
      <c r="D29" s="6" t="s">
        <v>61</v>
      </c>
      <c r="E29" s="5"/>
    </row>
    <row r="30" spans="1:7" ht="54" x14ac:dyDescent="0.25">
      <c r="A30" s="7" t="s">
        <v>62</v>
      </c>
      <c r="B30" s="34"/>
      <c r="C30" s="8">
        <v>60</v>
      </c>
      <c r="D30" s="9" t="s">
        <v>63</v>
      </c>
      <c r="E30" s="27" t="s">
        <v>64</v>
      </c>
    </row>
    <row r="31" spans="1:7" ht="27" x14ac:dyDescent="0.25">
      <c r="A31" s="7" t="s">
        <v>38</v>
      </c>
      <c r="B31" s="34"/>
      <c r="C31" s="8">
        <v>70</v>
      </c>
      <c r="D31" s="9" t="s">
        <v>65</v>
      </c>
      <c r="E31" s="8"/>
    </row>
    <row r="32" spans="1:7" ht="18" customHeight="1" x14ac:dyDescent="0.25">
      <c r="A32" s="7"/>
      <c r="B32" s="34"/>
      <c r="C32" s="8"/>
      <c r="D32" s="9"/>
      <c r="E32" s="8"/>
    </row>
    <row r="33" spans="1:5" ht="18" customHeight="1" thickBot="1" x14ac:dyDescent="0.3">
      <c r="A33" s="10"/>
      <c r="B33" s="35"/>
      <c r="C33" s="10"/>
      <c r="D33" s="11"/>
      <c r="E33" s="10"/>
    </row>
    <row r="34" spans="1:5" ht="18" customHeight="1" thickBot="1" x14ac:dyDescent="0.3">
      <c r="A34" s="12" t="s">
        <v>12</v>
      </c>
      <c r="B34" s="36" t="str">
        <f>INT(SUM(C29:C33)/60)&amp;"h"&amp;MOD(SUM(C29:C33),60)</f>
        <v>3h10</v>
      </c>
      <c r="C34" s="37"/>
      <c r="D34" s="37"/>
      <c r="E34" s="38"/>
    </row>
    <row r="35" spans="1:5" ht="40.5" x14ac:dyDescent="0.25">
      <c r="A35" s="4" t="s">
        <v>38</v>
      </c>
      <c r="B35" s="33">
        <v>46143</v>
      </c>
      <c r="C35" s="5">
        <v>60</v>
      </c>
      <c r="D35" s="6" t="s">
        <v>66</v>
      </c>
      <c r="E35" s="5"/>
    </row>
    <row r="36" spans="1:5" ht="18" customHeight="1" x14ac:dyDescent="0.25">
      <c r="A36" s="7" t="s">
        <v>38</v>
      </c>
      <c r="B36" s="34"/>
      <c r="C36" s="8">
        <v>35</v>
      </c>
      <c r="D36" s="9" t="s">
        <v>67</v>
      </c>
      <c r="E36" s="8"/>
    </row>
    <row r="37" spans="1:5" ht="18" customHeight="1" x14ac:dyDescent="0.25">
      <c r="A37" s="7" t="s">
        <v>38</v>
      </c>
      <c r="B37" s="34"/>
      <c r="C37" s="8">
        <v>60</v>
      </c>
      <c r="D37" s="9" t="s">
        <v>68</v>
      </c>
      <c r="E37" s="8"/>
    </row>
    <row r="38" spans="1:5" ht="27" x14ac:dyDescent="0.25">
      <c r="A38" s="7" t="s">
        <v>38</v>
      </c>
      <c r="B38" s="34"/>
      <c r="C38" s="8">
        <v>30</v>
      </c>
      <c r="D38" s="9" t="s">
        <v>69</v>
      </c>
      <c r="E38" s="8"/>
    </row>
    <row r="39" spans="1:5" x14ac:dyDescent="0.25">
      <c r="A39" s="28" t="s">
        <v>70</v>
      </c>
      <c r="B39" s="34"/>
      <c r="C39" s="10">
        <v>35</v>
      </c>
      <c r="D39" s="11" t="s">
        <v>71</v>
      </c>
      <c r="E39" s="10"/>
    </row>
    <row r="40" spans="1:5" x14ac:dyDescent="0.25">
      <c r="A40" s="10" t="s">
        <v>72</v>
      </c>
      <c r="B40" s="34"/>
      <c r="C40" s="10">
        <v>20</v>
      </c>
      <c r="D40" s="11" t="s">
        <v>73</v>
      </c>
      <c r="E40" s="10"/>
    </row>
    <row r="41" spans="1:5" x14ac:dyDescent="0.25">
      <c r="A41" s="10" t="s">
        <v>72</v>
      </c>
      <c r="B41" s="34"/>
      <c r="C41" s="10">
        <v>50</v>
      </c>
      <c r="D41" s="11" t="s">
        <v>74</v>
      </c>
      <c r="E41" s="10"/>
    </row>
    <row r="42" spans="1:5" x14ac:dyDescent="0.25">
      <c r="A42" s="10" t="s">
        <v>72</v>
      </c>
      <c r="B42" s="34"/>
      <c r="C42" s="10">
        <v>45</v>
      </c>
      <c r="D42" s="11" t="s">
        <v>75</v>
      </c>
      <c r="E42" s="10"/>
    </row>
    <row r="43" spans="1:5" ht="40.5" x14ac:dyDescent="0.25">
      <c r="A43" s="10" t="s">
        <v>76</v>
      </c>
      <c r="B43" s="34"/>
      <c r="C43" s="10">
        <v>60</v>
      </c>
      <c r="D43" s="11" t="s">
        <v>77</v>
      </c>
      <c r="E43" s="29"/>
    </row>
    <row r="44" spans="1:5" ht="18" customHeight="1" thickBot="1" x14ac:dyDescent="0.3">
      <c r="A44" s="10" t="s">
        <v>76</v>
      </c>
      <c r="B44" s="35"/>
      <c r="C44" s="10">
        <v>35</v>
      </c>
      <c r="D44" s="30" t="s">
        <v>78</v>
      </c>
      <c r="E44" s="29"/>
    </row>
    <row r="45" spans="1:5" ht="18" customHeight="1" thickBot="1" x14ac:dyDescent="0.3">
      <c r="A45" s="12" t="s">
        <v>12</v>
      </c>
      <c r="B45" s="36" t="str">
        <f>INT(SUM(C35:C44)/60)&amp;"h"&amp;MOD(SUM(C35:C44),60)</f>
        <v>7h10</v>
      </c>
      <c r="C45" s="37"/>
      <c r="D45" s="37"/>
      <c r="E45" s="38"/>
    </row>
    <row r="46" spans="1:5" ht="18" customHeight="1" x14ac:dyDescent="0.25">
      <c r="A46" s="13" t="s">
        <v>76</v>
      </c>
      <c r="B46" s="33">
        <v>46146</v>
      </c>
      <c r="C46" s="13">
        <v>50</v>
      </c>
      <c r="D46" s="14" t="s">
        <v>79</v>
      </c>
      <c r="E46" s="13"/>
    </row>
    <row r="47" spans="1:5" ht="27" x14ac:dyDescent="0.25">
      <c r="A47" s="8" t="s">
        <v>76</v>
      </c>
      <c r="B47" s="34"/>
      <c r="C47" s="8">
        <v>45</v>
      </c>
      <c r="D47" s="9" t="s">
        <v>80</v>
      </c>
      <c r="E47" s="31"/>
    </row>
    <row r="48" spans="1:5" ht="18" customHeight="1" x14ac:dyDescent="0.25">
      <c r="A48" s="8" t="s">
        <v>38</v>
      </c>
      <c r="B48" s="34"/>
      <c r="C48" s="8">
        <v>60</v>
      </c>
      <c r="D48" s="9" t="s">
        <v>81</v>
      </c>
      <c r="E48" s="31"/>
    </row>
    <row r="49" spans="1:5" ht="18" customHeight="1" x14ac:dyDescent="0.25">
      <c r="A49" s="8" t="s">
        <v>38</v>
      </c>
      <c r="B49" s="34"/>
      <c r="C49" s="8">
        <v>35</v>
      </c>
      <c r="D49" s="9" t="s">
        <v>82</v>
      </c>
      <c r="E49" s="31"/>
    </row>
    <row r="50" spans="1:5" ht="27" x14ac:dyDescent="0.25">
      <c r="A50" s="8" t="s">
        <v>83</v>
      </c>
      <c r="B50" s="34"/>
      <c r="C50" s="8">
        <v>60</v>
      </c>
      <c r="D50" s="9" t="s">
        <v>84</v>
      </c>
      <c r="E50" s="31"/>
    </row>
    <row r="51" spans="1:5" ht="27" x14ac:dyDescent="0.25">
      <c r="A51" s="8" t="s">
        <v>83</v>
      </c>
      <c r="B51" s="34"/>
      <c r="C51" s="8">
        <v>20</v>
      </c>
      <c r="D51" s="9" t="s">
        <v>85</v>
      </c>
      <c r="E51" s="31"/>
    </row>
    <row r="52" spans="1:5" ht="108" x14ac:dyDescent="0.25">
      <c r="A52" s="8" t="s">
        <v>86</v>
      </c>
      <c r="B52" s="34"/>
      <c r="C52" s="8">
        <v>50</v>
      </c>
      <c r="D52" s="9" t="s">
        <v>87</v>
      </c>
      <c r="E52" s="31"/>
    </row>
    <row r="53" spans="1:5" ht="18" customHeight="1" thickBot="1" x14ac:dyDescent="0.3">
      <c r="A53" s="8"/>
      <c r="B53" s="35"/>
      <c r="C53" s="8"/>
      <c r="D53" s="32"/>
      <c r="E53" s="31"/>
    </row>
    <row r="54" spans="1:5" ht="18" customHeight="1" thickBot="1" x14ac:dyDescent="0.3">
      <c r="A54" s="12" t="s">
        <v>12</v>
      </c>
      <c r="B54" s="36" t="str">
        <f>INT(SUM(C46:C53)/60)&amp;"h"&amp;MOD(SUM(C46:C53),60)</f>
        <v>5h20</v>
      </c>
      <c r="C54" s="37"/>
      <c r="D54" s="37"/>
      <c r="E54" s="38"/>
    </row>
    <row r="55" spans="1:5" ht="18" customHeight="1" x14ac:dyDescent="0.25">
      <c r="A55" s="4" t="s">
        <v>88</v>
      </c>
      <c r="B55" s="33">
        <v>46148</v>
      </c>
      <c r="C55" s="5">
        <v>60</v>
      </c>
      <c r="D55" s="6" t="s">
        <v>89</v>
      </c>
      <c r="E55" s="5"/>
    </row>
    <row r="56" spans="1:5" ht="18" customHeight="1" x14ac:dyDescent="0.25">
      <c r="A56" s="7" t="s">
        <v>90</v>
      </c>
      <c r="B56" s="34"/>
      <c r="C56" s="8">
        <v>35</v>
      </c>
      <c r="D56" s="9" t="s">
        <v>91</v>
      </c>
      <c r="E56" s="8"/>
    </row>
    <row r="57" spans="1:5" ht="18" customHeight="1" x14ac:dyDescent="0.25">
      <c r="A57" s="7" t="s">
        <v>90</v>
      </c>
      <c r="B57" s="34"/>
      <c r="C57" s="8">
        <v>60</v>
      </c>
      <c r="D57" s="9" t="s">
        <v>92</v>
      </c>
      <c r="E57" s="8"/>
    </row>
    <row r="58" spans="1:5" ht="18" customHeight="1" x14ac:dyDescent="0.25">
      <c r="A58" s="7" t="s">
        <v>93</v>
      </c>
      <c r="B58" s="34"/>
      <c r="C58" s="8">
        <v>60</v>
      </c>
      <c r="D58" s="9" t="s">
        <v>94</v>
      </c>
      <c r="E58" s="8"/>
    </row>
    <row r="59" spans="1:5" ht="18" customHeight="1" x14ac:dyDescent="0.25">
      <c r="A59" s="28" t="s">
        <v>95</v>
      </c>
      <c r="B59" s="34"/>
      <c r="C59" s="10">
        <v>40</v>
      </c>
      <c r="D59" s="11" t="s">
        <v>96</v>
      </c>
      <c r="E59" s="10"/>
    </row>
    <row r="60" spans="1:5" ht="18" customHeight="1" x14ac:dyDescent="0.25">
      <c r="A60" s="28" t="s">
        <v>95</v>
      </c>
      <c r="B60" s="34"/>
      <c r="C60" s="10">
        <v>10</v>
      </c>
      <c r="D60" s="11" t="s">
        <v>97</v>
      </c>
      <c r="E60" s="10"/>
    </row>
    <row r="61" spans="1:5" ht="18" customHeight="1" x14ac:dyDescent="0.25">
      <c r="A61" s="28" t="s">
        <v>98</v>
      </c>
      <c r="B61" s="34"/>
      <c r="C61" s="10">
        <v>20</v>
      </c>
      <c r="D61" s="11" t="s">
        <v>99</v>
      </c>
      <c r="E61" s="10"/>
    </row>
    <row r="62" spans="1:5" ht="18" customHeight="1" x14ac:dyDescent="0.25">
      <c r="A62" s="28" t="s">
        <v>95</v>
      </c>
      <c r="B62" s="34"/>
      <c r="C62" s="10">
        <v>20</v>
      </c>
      <c r="D62" s="11" t="s">
        <v>100</v>
      </c>
      <c r="E62" s="10"/>
    </row>
    <row r="63" spans="1:5" ht="54" x14ac:dyDescent="0.25">
      <c r="A63" s="28" t="s">
        <v>58</v>
      </c>
      <c r="B63" s="34"/>
      <c r="C63" s="10">
        <v>35</v>
      </c>
      <c r="D63" s="11" t="s">
        <v>101</v>
      </c>
      <c r="E63" s="10" t="s">
        <v>102</v>
      </c>
    </row>
    <row r="64" spans="1:5" x14ac:dyDescent="0.25">
      <c r="A64" s="28" t="s">
        <v>20</v>
      </c>
      <c r="B64" s="34"/>
      <c r="C64" s="10">
        <v>45</v>
      </c>
      <c r="D64" s="11" t="s">
        <v>103</v>
      </c>
      <c r="E64" s="10"/>
    </row>
    <row r="65" spans="1:5" ht="27" x14ac:dyDescent="0.25">
      <c r="A65" s="28" t="s">
        <v>20</v>
      </c>
      <c r="B65" s="34"/>
      <c r="C65" s="10">
        <v>45</v>
      </c>
      <c r="D65" s="11" t="s">
        <v>104</v>
      </c>
      <c r="E65" s="10"/>
    </row>
    <row r="66" spans="1:5" ht="18" customHeight="1" thickBot="1" x14ac:dyDescent="0.3">
      <c r="A66" s="10"/>
      <c r="B66" s="35"/>
      <c r="C66" s="10"/>
      <c r="D66" s="11"/>
      <c r="E66" s="10"/>
    </row>
    <row r="67" spans="1:5" ht="18" customHeight="1" thickBot="1" x14ac:dyDescent="0.3">
      <c r="A67" s="12" t="s">
        <v>12</v>
      </c>
      <c r="B67" s="36" t="str">
        <f>INT(SUM(C55:C66)/60)&amp;"h"&amp;MOD(SUM(C55:C66),60)</f>
        <v>7h10</v>
      </c>
      <c r="C67" s="37"/>
      <c r="D67" s="37"/>
      <c r="E67" s="38"/>
    </row>
    <row r="68" spans="1:5" ht="27" x14ac:dyDescent="0.25">
      <c r="A68" s="4" t="s">
        <v>58</v>
      </c>
      <c r="B68" s="33">
        <v>46149</v>
      </c>
      <c r="C68" s="5">
        <v>60</v>
      </c>
      <c r="D68" s="6" t="s">
        <v>105</v>
      </c>
      <c r="E68" s="5"/>
    </row>
    <row r="69" spans="1:5" ht="54" x14ac:dyDescent="0.25">
      <c r="A69" s="7" t="s">
        <v>106</v>
      </c>
      <c r="B69" s="34"/>
      <c r="C69" s="8">
        <v>60</v>
      </c>
      <c r="D69" s="9" t="s">
        <v>107</v>
      </c>
      <c r="E69" s="8"/>
    </row>
    <row r="70" spans="1:5" ht="81" x14ac:dyDescent="0.25">
      <c r="A70" s="7" t="s">
        <v>108</v>
      </c>
      <c r="B70" s="34"/>
      <c r="C70" s="8">
        <v>55</v>
      </c>
      <c r="D70" s="9" t="s">
        <v>109</v>
      </c>
      <c r="E70" s="8"/>
    </row>
    <row r="71" spans="1:5" ht="18" customHeight="1" x14ac:dyDescent="0.25">
      <c r="A71" s="7" t="s">
        <v>38</v>
      </c>
      <c r="B71" s="34"/>
      <c r="C71" s="8">
        <v>15</v>
      </c>
      <c r="D71" s="9" t="s">
        <v>110</v>
      </c>
      <c r="E71" s="8"/>
    </row>
    <row r="72" spans="1:5" ht="18" customHeight="1" thickBot="1" x14ac:dyDescent="0.3">
      <c r="A72" s="10"/>
      <c r="B72" s="35"/>
      <c r="C72" s="10"/>
      <c r="D72" s="11"/>
      <c r="E72" s="10"/>
    </row>
    <row r="73" spans="1:5" ht="18" customHeight="1" thickBot="1" x14ac:dyDescent="0.3">
      <c r="A73" s="12" t="s">
        <v>12</v>
      </c>
      <c r="B73" s="36" t="str">
        <f>INT(SUM(C68:C72)/60)&amp;"h"&amp;MOD(SUM(C68:C72),60)</f>
        <v>3h10</v>
      </c>
      <c r="C73" s="37"/>
      <c r="D73" s="37"/>
      <c r="E73" s="38"/>
    </row>
    <row r="74" spans="1:5" ht="40.5" x14ac:dyDescent="0.25">
      <c r="A74" s="4" t="s">
        <v>93</v>
      </c>
      <c r="B74" s="33">
        <v>46150</v>
      </c>
      <c r="C74" s="5">
        <v>10</v>
      </c>
      <c r="D74" s="6" t="s">
        <v>111</v>
      </c>
      <c r="E74" s="5"/>
    </row>
    <row r="75" spans="1:5" ht="27" x14ac:dyDescent="0.25">
      <c r="A75" s="7" t="s">
        <v>38</v>
      </c>
      <c r="B75" s="34"/>
      <c r="C75" s="8">
        <v>50</v>
      </c>
      <c r="D75" s="9" t="s">
        <v>112</v>
      </c>
      <c r="E75" s="8"/>
    </row>
    <row r="76" spans="1:5" ht="18" customHeight="1" x14ac:dyDescent="0.25">
      <c r="A76" s="7" t="s">
        <v>38</v>
      </c>
      <c r="B76" s="34"/>
      <c r="C76" s="8">
        <v>35</v>
      </c>
      <c r="D76" s="9" t="s">
        <v>113</v>
      </c>
      <c r="E76" s="8"/>
    </row>
    <row r="77" spans="1:5" ht="27" x14ac:dyDescent="0.25">
      <c r="A77" s="7" t="s">
        <v>114</v>
      </c>
      <c r="B77" s="34"/>
      <c r="C77" s="8">
        <v>60</v>
      </c>
      <c r="D77" s="9" t="s">
        <v>115</v>
      </c>
      <c r="E77" s="8"/>
    </row>
    <row r="78" spans="1:5" x14ac:dyDescent="0.25">
      <c r="A78" s="28" t="s">
        <v>114</v>
      </c>
      <c r="B78" s="34"/>
      <c r="C78" s="10">
        <v>60</v>
      </c>
      <c r="D78" s="11" t="s">
        <v>116</v>
      </c>
      <c r="E78" s="10"/>
    </row>
    <row r="79" spans="1:5" x14ac:dyDescent="0.25">
      <c r="A79" s="28" t="s">
        <v>38</v>
      </c>
      <c r="B79" s="34"/>
      <c r="C79" s="10">
        <v>25</v>
      </c>
      <c r="D79" s="11" t="s">
        <v>117</v>
      </c>
      <c r="E79" s="10"/>
    </row>
    <row r="80" spans="1:5" ht="27" x14ac:dyDescent="0.25">
      <c r="A80" s="28" t="s">
        <v>38</v>
      </c>
      <c r="B80" s="34"/>
      <c r="C80" s="10">
        <v>60</v>
      </c>
      <c r="D80" s="11" t="s">
        <v>118</v>
      </c>
      <c r="E80" s="10"/>
    </row>
    <row r="81" spans="1:5" x14ac:dyDescent="0.25">
      <c r="A81" s="28" t="s">
        <v>38</v>
      </c>
      <c r="B81" s="34"/>
      <c r="C81" s="10">
        <v>60</v>
      </c>
      <c r="D81" s="11" t="s">
        <v>113</v>
      </c>
      <c r="E81" s="10"/>
    </row>
    <row r="82" spans="1:5" x14ac:dyDescent="0.25">
      <c r="A82" s="28" t="s">
        <v>38</v>
      </c>
      <c r="B82" s="34"/>
      <c r="C82" s="10">
        <v>60</v>
      </c>
      <c r="D82" s="11" t="s">
        <v>119</v>
      </c>
      <c r="E82" s="10"/>
    </row>
    <row r="83" spans="1:5" ht="18" customHeight="1" thickBot="1" x14ac:dyDescent="0.3">
      <c r="A83" s="10" t="s">
        <v>38</v>
      </c>
      <c r="B83" s="35"/>
      <c r="C83" s="10">
        <v>10</v>
      </c>
      <c r="D83" s="11" t="s">
        <v>119</v>
      </c>
      <c r="E83" s="10"/>
    </row>
    <row r="84" spans="1:5" ht="18" customHeight="1" thickBot="1" x14ac:dyDescent="0.3">
      <c r="A84" s="12" t="s">
        <v>12</v>
      </c>
      <c r="B84" s="36" t="str">
        <f>INT(SUM(C74:C83)/60)&amp;"h"&amp;MOD(SUM(C74:C83),60)</f>
        <v>7h10</v>
      </c>
      <c r="C84" s="37"/>
      <c r="D84" s="37"/>
      <c r="E84" s="38"/>
    </row>
    <row r="85" spans="1:5" ht="18" customHeight="1" x14ac:dyDescent="0.25">
      <c r="A85" s="4" t="s">
        <v>38</v>
      </c>
      <c r="B85" s="41"/>
      <c r="C85" s="5">
        <v>20</v>
      </c>
      <c r="D85" s="6" t="s">
        <v>120</v>
      </c>
      <c r="E85" s="5"/>
    </row>
    <row r="86" spans="1:5" ht="18" customHeight="1" x14ac:dyDescent="0.25">
      <c r="A86" s="7" t="s">
        <v>121</v>
      </c>
      <c r="B86" s="34"/>
      <c r="C86" s="8">
        <v>40</v>
      </c>
      <c r="D86" s="9" t="s">
        <v>122</v>
      </c>
      <c r="E86" s="8"/>
    </row>
    <row r="87" spans="1:5" ht="18" customHeight="1" x14ac:dyDescent="0.25">
      <c r="A87" s="7" t="s">
        <v>38</v>
      </c>
      <c r="B87" s="34"/>
      <c r="C87" s="8">
        <v>60</v>
      </c>
      <c r="D87" s="9" t="s">
        <v>123</v>
      </c>
      <c r="E87" s="8"/>
    </row>
    <row r="88" spans="1:5" ht="18" customHeight="1" x14ac:dyDescent="0.25">
      <c r="A88" s="7" t="s">
        <v>38</v>
      </c>
      <c r="B88" s="34"/>
      <c r="C88" s="8">
        <v>60</v>
      </c>
      <c r="D88" s="9" t="s">
        <v>113</v>
      </c>
      <c r="E88" s="8"/>
    </row>
    <row r="89" spans="1:5" ht="18" customHeight="1" x14ac:dyDescent="0.25">
      <c r="A89" s="28" t="s">
        <v>38</v>
      </c>
      <c r="B89" s="34"/>
      <c r="C89" s="10">
        <v>10</v>
      </c>
      <c r="D89" s="11" t="s">
        <v>119</v>
      </c>
      <c r="E89" s="10"/>
    </row>
    <row r="90" spans="1:5" ht="18" customHeight="1" thickBot="1" x14ac:dyDescent="0.3">
      <c r="A90" s="10"/>
      <c r="B90" s="35"/>
      <c r="C90" s="10"/>
      <c r="D90" s="11"/>
      <c r="E90" s="10"/>
    </row>
    <row r="91" spans="1:5" ht="18" customHeight="1" thickBot="1" x14ac:dyDescent="0.3">
      <c r="A91" s="12" t="s">
        <v>12</v>
      </c>
      <c r="B91" s="36" t="str">
        <f>INT(SUM(C85:C90)/60)&amp;"h"&amp;MOD(SUM(C85:C90),60)</f>
        <v>3h10</v>
      </c>
      <c r="C91" s="37"/>
      <c r="D91" s="37"/>
      <c r="E91" s="38"/>
    </row>
    <row r="92" spans="1:5" ht="18" customHeight="1" x14ac:dyDescent="0.25">
      <c r="A92" s="13"/>
      <c r="B92" s="41"/>
      <c r="C92" s="13"/>
      <c r="D92" s="14"/>
      <c r="E92" s="13"/>
    </row>
    <row r="93" spans="1:5" ht="18" customHeight="1" x14ac:dyDescent="0.25">
      <c r="A93" s="8"/>
      <c r="B93" s="34"/>
      <c r="C93" s="8"/>
      <c r="D93" s="9"/>
      <c r="E93" s="8"/>
    </row>
    <row r="94" spans="1:5" ht="18" customHeight="1" x14ac:dyDescent="0.25">
      <c r="A94" s="8"/>
      <c r="B94" s="34"/>
      <c r="C94" s="8"/>
      <c r="D94" s="9"/>
      <c r="E94" s="8"/>
    </row>
    <row r="95" spans="1:5" ht="18" customHeight="1" x14ac:dyDescent="0.25">
      <c r="A95" s="8"/>
      <c r="B95" s="34"/>
      <c r="C95" s="8"/>
      <c r="D95" s="9"/>
      <c r="E95" s="8"/>
    </row>
    <row r="96" spans="1:5" ht="18" customHeight="1" thickBot="1" x14ac:dyDescent="0.3">
      <c r="A96" s="8"/>
      <c r="B96" s="35"/>
      <c r="C96" s="8"/>
      <c r="D96" s="9"/>
      <c r="E96" s="8"/>
    </row>
    <row r="97" spans="1:5" ht="18" customHeight="1" thickBot="1" x14ac:dyDescent="0.3">
      <c r="A97" s="12" t="s">
        <v>12</v>
      </c>
      <c r="B97" s="36"/>
      <c r="C97" s="37"/>
      <c r="D97" s="37"/>
      <c r="E97" s="38"/>
    </row>
    <row r="98" spans="1:5" ht="21" customHeight="1" thickBot="1" x14ac:dyDescent="0.3">
      <c r="A98" s="39" t="s">
        <v>13</v>
      </c>
      <c r="B98" s="40"/>
      <c r="C98" s="15">
        <f>MROUND(SUM(C6:C97) /60,0.2)</f>
        <v>48.800000000000004</v>
      </c>
      <c r="D98" s="16"/>
      <c r="E98" s="17"/>
    </row>
    <row r="100" spans="1:5" x14ac:dyDescent="0.25">
      <c r="A100" s="18" t="s">
        <v>14</v>
      </c>
    </row>
    <row r="101" spans="1:5" x14ac:dyDescent="0.25">
      <c r="A101" s="18"/>
    </row>
  </sheetData>
  <mergeCells count="25">
    <mergeCell ref="B1:C1"/>
    <mergeCell ref="B2:C2"/>
    <mergeCell ref="B3:C3"/>
    <mergeCell ref="B4:E4"/>
    <mergeCell ref="B92:B96"/>
    <mergeCell ref="B67:E67"/>
    <mergeCell ref="B6:B17"/>
    <mergeCell ref="B18:E18"/>
    <mergeCell ref="B19:B27"/>
    <mergeCell ref="B28:E28"/>
    <mergeCell ref="B29:B33"/>
    <mergeCell ref="B34:E34"/>
    <mergeCell ref="B35:B44"/>
    <mergeCell ref="B45:E45"/>
    <mergeCell ref="B46:B53"/>
    <mergeCell ref="B54:E54"/>
    <mergeCell ref="B55:B66"/>
    <mergeCell ref="B97:E97"/>
    <mergeCell ref="A98:B98"/>
    <mergeCell ref="B68:B72"/>
    <mergeCell ref="B73:E73"/>
    <mergeCell ref="B74:B83"/>
    <mergeCell ref="B84:E84"/>
    <mergeCell ref="B85:B90"/>
    <mergeCell ref="B91:E91"/>
  </mergeCells>
  <dataValidations count="2">
    <dataValidation type="whole" operator="greaterThan" allowBlank="1" showInputMessage="1" showErrorMessage="1" errorTitle="Durée par tranche de 10min" error="Le nombre doit être de type entier" sqref="C85:C90 C74:C83 C55:C66 C68:C72 C29:C33 B6 C6:C17 C35:C44 C46:C53 C92:C96 C19:C27" xr:uid="{345ABA8F-B69F-4AFC-9D0E-D2AB0ACDE277}">
      <formula1>0</formula1>
    </dataValidation>
    <dataValidation type="date" operator="greaterThan" allowBlank="1" showInputMessage="1" showErrorMessage="1" errorTitle="Durée par tranche de 10min" error="Le nombre doit être de type entier" sqref="B19:B27 B29:B33 B35:B44 B46:B53 B55:B66 B68:B72 B74:B83 B85:B90 B92:B96"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32"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C5:I33"/>
  <sheetViews>
    <sheetView workbookViewId="0">
      <selection activeCell="E16" sqref="E16"/>
    </sheetView>
  </sheetViews>
  <sheetFormatPr baseColWidth="10" defaultRowHeight="13.5" x14ac:dyDescent="0.25"/>
  <cols>
    <col min="6" max="6" width="17" bestFit="1" customWidth="1"/>
    <col min="9" max="9" width="16.28515625" bestFit="1" customWidth="1"/>
  </cols>
  <sheetData>
    <row r="5" spans="3:9" x14ac:dyDescent="0.25">
      <c r="D5" t="s">
        <v>21</v>
      </c>
      <c r="E5" t="s">
        <v>22</v>
      </c>
      <c r="F5" t="s">
        <v>23</v>
      </c>
      <c r="G5" t="s">
        <v>24</v>
      </c>
      <c r="H5" t="s">
        <v>25</v>
      </c>
      <c r="I5" t="s">
        <v>26</v>
      </c>
    </row>
    <row r="6" spans="3:9" x14ac:dyDescent="0.25">
      <c r="C6" t="s">
        <v>27</v>
      </c>
      <c r="D6" s="26">
        <v>0.33333333333333331</v>
      </c>
      <c r="E6" s="26">
        <v>0.47569444444444442</v>
      </c>
      <c r="F6" s="26">
        <v>0.51388888888888884</v>
      </c>
      <c r="G6" s="26">
        <v>0.61458333333333337</v>
      </c>
      <c r="H6" s="26">
        <v>2.0833333333333332E-2</v>
      </c>
      <c r="I6" s="26">
        <v>0.22222222222222221</v>
      </c>
    </row>
    <row r="7" spans="3:9" x14ac:dyDescent="0.25">
      <c r="C7" t="s">
        <v>28</v>
      </c>
      <c r="D7" s="26">
        <v>0</v>
      </c>
      <c r="E7" s="26">
        <v>0</v>
      </c>
      <c r="F7" s="26">
        <v>0</v>
      </c>
      <c r="G7" s="26">
        <v>0</v>
      </c>
      <c r="H7" s="26">
        <v>0</v>
      </c>
      <c r="I7" s="26">
        <v>0</v>
      </c>
    </row>
    <row r="8" spans="3:9" x14ac:dyDescent="0.25">
      <c r="C8" t="s">
        <v>29</v>
      </c>
      <c r="D8" s="26">
        <v>0.33333333333333331</v>
      </c>
      <c r="E8" s="26">
        <v>0.51041666666666663</v>
      </c>
      <c r="F8" s="26">
        <v>0.54861111111111116</v>
      </c>
      <c r="G8" s="26">
        <v>0.69097222222222221</v>
      </c>
      <c r="H8" s="26">
        <v>2.0833333333333332E-2</v>
      </c>
      <c r="I8" s="26">
        <v>0.2986111111111111</v>
      </c>
    </row>
    <row r="9" spans="3:9" x14ac:dyDescent="0.25">
      <c r="C9" t="s">
        <v>30</v>
      </c>
      <c r="D9" s="26">
        <v>0</v>
      </c>
      <c r="E9" s="26">
        <v>0</v>
      </c>
      <c r="F9" s="26">
        <v>0.54861111111111116</v>
      </c>
      <c r="G9" s="26">
        <v>0.69097222222222221</v>
      </c>
      <c r="H9" s="26">
        <v>1.0416666666666666E-2</v>
      </c>
      <c r="I9" s="26">
        <f>G9-F9-H9</f>
        <v>0.13194444444444439</v>
      </c>
    </row>
    <row r="10" spans="3:9" x14ac:dyDescent="0.25">
      <c r="C10" t="s">
        <v>31</v>
      </c>
      <c r="D10" s="26">
        <v>0.33333333333333331</v>
      </c>
      <c r="E10" s="26">
        <v>0.51041666666666663</v>
      </c>
      <c r="F10" s="26">
        <v>0.54861111111111116</v>
      </c>
      <c r="G10" s="26">
        <v>0.69097222222222221</v>
      </c>
      <c r="H10" s="26">
        <v>2.0833333333333332E-2</v>
      </c>
      <c r="I10" s="26">
        <v>0.2986111111111111</v>
      </c>
    </row>
    <row r="12" spans="3:9" x14ac:dyDescent="0.25">
      <c r="H12" t="s">
        <v>32</v>
      </c>
      <c r="I12" s="26">
        <v>0.95138888888888884</v>
      </c>
    </row>
    <row r="15" spans="3:9" x14ac:dyDescent="0.25">
      <c r="E15" s="26">
        <f>E6-D6-(H6/2)</f>
        <v>0.13194444444444445</v>
      </c>
    </row>
    <row r="16" spans="3:9" x14ac:dyDescent="0.25">
      <c r="E16" s="26"/>
    </row>
    <row r="19" spans="5:5" x14ac:dyDescent="0.25">
      <c r="E19" s="26"/>
    </row>
    <row r="20" spans="5:5" x14ac:dyDescent="0.25">
      <c r="E20" s="26"/>
    </row>
    <row r="33" spans="4:4" x14ac:dyDescent="0.25">
      <c r="D33" s="26"/>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2.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2026-05-11T09:23:48Z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