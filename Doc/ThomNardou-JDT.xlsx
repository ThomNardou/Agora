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30BDECA4-F45B-4C66-AF34-F3C1D66B9997}" xr6:coauthVersionLast="47" xr6:coauthVersionMax="47" xr10:uidLastSave="{00000000-0000-0000-0000-000000000000}"/>
  <bookViews>
    <workbookView xWindow="28680" yWindow="-120" windowWidth="29040" windowHeight="15840" xr2:uid="{00000000-000D-0000-FFFF-FFFF00000000}"/>
  </bookViews>
  <sheets>
    <sheet name="Journal" sheetId="18" r:id="rId1"/>
    <sheet name="Heures de travail" sheetId="19" r:id="rId2"/>
    <sheet name="Comparaison" sheetId="20" r:id="rId3"/>
  </sheets>
  <definedNames>
    <definedName name="_xlnm.Print_Area" localSheetId="0">Journal!$A$1:$E$170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20" l="1"/>
  <c r="B44" i="20"/>
  <c r="B43" i="20"/>
  <c r="B42" i="20"/>
  <c r="B17" i="20"/>
  <c r="B20" i="20" s="1"/>
  <c r="G2" i="19"/>
  <c r="B158" i="18"/>
  <c r="B146" i="18"/>
  <c r="B135" i="18"/>
  <c r="B124" i="18"/>
  <c r="C170" i="18"/>
  <c r="B113" i="18"/>
  <c r="B103" i="18"/>
  <c r="B169" i="18"/>
  <c r="B93" i="18"/>
  <c r="B84" i="18"/>
  <c r="B73" i="18"/>
  <c r="B67" i="18"/>
  <c r="B54" i="18"/>
  <c r="B45" i="18"/>
  <c r="G5" i="19"/>
  <c r="B34" i="18"/>
  <c r="B28" i="18"/>
  <c r="B18" i="18"/>
</calcChain>
</file>

<file path=xl/sharedStrings.xml><?xml version="1.0" encoding="utf-8"?>
<sst xmlns="http://schemas.openxmlformats.org/spreadsheetml/2006/main" count="328" uniqueCount="213">
  <si>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</si>
  <si>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</si>
  <si>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</si>
  <si>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</si>
  <si>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</si>
  <si>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</si>
  <si>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</si>
  <si>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</si>
  <si>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</si>
  <si>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</si>
  <si>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</si>
  <si>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</si>
  <si>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</si>
  <si>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</si>
  <si>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</si>
  <si>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</si>
  <si>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</si>
  <si>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</si>
  <si>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</si>
  <si>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</si>
  <si>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</si>
  <si>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</si>
  <si>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</si>
  <si>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</si>
  <si>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</si>
  <si>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</si>
  <si>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</si>
  <si>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</si>
  <si>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</si>
  <si>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</si>
  <si>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</si>
  <si>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</si>
  <si>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</si>
  <si>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</si>
  <si>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</si>
  <si>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</si>
  <si>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</si>
  <si>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</si>
  <si>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</si>
  <si>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</si>
  <si>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</si>
  <si>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</si>
  <si>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</si>
  <si>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</si>
  <si>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</si>
  <si>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</si>
  <si>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</si>
  <si>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</si>
  <si>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</si>
  <si>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</si>
  <si>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</si>
  <si>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</si>
  <si>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</si>
  <si>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</si>
  <si>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</si>
  <si>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</si>
  <si>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</si>
  <si>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</si>
  <si>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</si>
  <si>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</si>
  <si>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</si>
  <si>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</si>
  <si>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</si>
  <si>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</si>
  <si>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</si>
  <si>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</si>
  <si>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</si>
  <si>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</si>
  <si>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</si>
  <si>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</si>
  <si>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</si>
  <si>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</si>
  <si>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</si>
  <si>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</si>
  <si>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</si>
  <si>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</si>
  <si>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</si>
  <si>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</si>
  <si>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</si>
  <si>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</si>
  <si>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</si>
  <si>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</si>
  <si>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</si>
  <si>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</si>
  <si>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</si>
  <si>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</si>
  <si>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</si>
  <si>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</si>
  <si>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</si>
  <si>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</si>
  <si>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</si>
  <si>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</si>
  <si>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</si>
  <si>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</si>
  <si>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</si>
  <si>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</si>
  <si>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</si>
  <si>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</si>
  <si>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</si>
  <si>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</si>
  <si>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</si>
  <si>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</si>
  <si>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</si>
  <si>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</si>
  <si>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</si>
  <si>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</si>
  <si>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</si>
  <si>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</si>
  <si>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</si>
  <si>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</si>
  <si>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</si>
  <si>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</si>
  <si>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</si>
  <si>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</si>
  <si>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</si>
  <si>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</si>
  <si>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</si>
  <si>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</si>
  <si>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</si>
  <si>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</si>
  <si>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</si>
  <si>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</si>
  <si>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</si>
  <si>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</si>
  <si>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</si>
  <si>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</si>
  <si>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</si>
  <si>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</si>
  <si>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</si>
  <si>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</si>
  <si>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</si>
  <si>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</si>
  <si>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</si>
  <si>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</si>
  <si>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</si>
  <si>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</si>
  <si>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</si>
  <si>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</si>
  <si>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</si>
  <si>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</si>
  <si>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</si>
  <si>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</si>
  <si>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</si>
  <si>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</si>
  <si>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Oublie</t>
  </si>
  <si>
    <t>Suite à un problème (sans doute un oublie de commit) le système de renvoi n'a pas été fait ducoup j'ai du le refaire</t>
  </si>
  <si>
    <t>Calcule des heures</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</si>
  <si>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</si>
  <si>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</si>
  <si>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</si>
  <si>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</si>
  <si>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</si>
  <si>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</si>
  <si>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Mise en production</t>
  </si>
  <si>
    <t>J'ai commencé la mise ne production</t>
  </si>
  <si>
    <t>J'essaie la mise en production mais j'y arrive pas à cause du certificat</t>
  </si>
  <si>
    <t>Mise ne production terminée (problème de confiance du certificat</t>
  </si>
  <si>
    <t>Disscussion</t>
  </si>
  <si>
    <t>M. Melly ma envoyé un mail pour me faire un retour sur mon rapport et sur mon application et on a discuté de ce qu'il fallait modifié</t>
  </si>
  <si>
    <t>Modification schémas</t>
  </si>
  <si>
    <t>J'ai modifié les schémas conformément aux remarques de M. Melly</t>
  </si>
  <si>
    <t>Modification Rapport</t>
  </si>
  <si>
    <t xml:space="preserve">J'ai commencé à modifier mon rapport </t>
  </si>
  <si>
    <t>J'ai continué les modifications de M. Melly</t>
  </si>
  <si>
    <t>J'ai presque terminé il me manque les tests manuels fait sur le serveur de staging</t>
  </si>
  <si>
    <t>Modification du rapport</t>
  </si>
  <si>
    <t xml:space="preserve">Je suis entrain de faire mes tests manuels </t>
  </si>
  <si>
    <t>J'ai continué de modifier mon rapport</t>
  </si>
  <si>
    <t>Fix gestion d'erreur script</t>
  </si>
  <si>
    <t>J'ai rmarqué un bug ou le script essayais de d'envoyer la meme campagne en boucle</t>
  </si>
  <si>
    <t xml:space="preserve">J'ai terminé de fix le problème si j'ai pris beaucoup de temps c'est parce que j'ai voulu m'aidé de l'IA pour le reglé rapidement mais au final elle me donnait que des choses fausse donc j'en ai eu marre et j'ai corrigé le bug moi-même (que ca me serve de leçon) et au final c'est juste qu'il traitait les lecteur plusieur fois même si l'envoi avait échoué ducoup j'ai rajouté un champ en db pour évité qu'il soit repris en compte </t>
  </si>
  <si>
    <t>J'ai continué mon rapport là je vais faire le première version de la comparaison du temps plannifié et effectué</t>
  </si>
  <si>
    <t>Rapport Plannification</t>
  </si>
  <si>
    <t>J'ai fait quelque ajustement au niveau de la page d'inscription et j'ai aussi fait la page de politique de confidentialité (fait par IA)</t>
  </si>
  <si>
    <t xml:space="preserve">J'ai essayé d'améliorer la vidéo </t>
  </si>
  <si>
    <t xml:space="preserve">Modification détails d'une campagne </t>
  </si>
  <si>
    <t>Suite à plusieurs demandes de M. j'ai commencé à modifier l'app</t>
  </si>
  <si>
    <t>Correction système de suppression</t>
  </si>
  <si>
    <t>J'ai commencé à modifier le système de suppression</t>
  </si>
  <si>
    <t>J'ai modififé la vidéo j'ai réussi à ce qu'elle fasse 41sec mais je vais arreter de toucher plus car sinon ca va pas être lisible</t>
  </si>
  <si>
    <t>Système de supression</t>
  </si>
  <si>
    <t>J'ai modifié le système de suppression"miantenant une campagne et juste en annulée si elle est planifiée à la base</t>
  </si>
  <si>
    <t>J'ai fait quelques modification sur l'app notament le changement des labels (enfin) et j'ai ajouté la confirmation de suppression</t>
  </si>
  <si>
    <t>Comparaison</t>
  </si>
  <si>
    <t>J'ai fais la comparaison des heures planifié vs effectué</t>
  </si>
  <si>
    <t>J'ai modifié mon rapport j'ai notament ajouté la comparaison des heures du journal de trvail</t>
  </si>
  <si>
    <t>28min</t>
  </si>
  <si>
    <t>J'ai relu mon rapport et corrigé les faute que je voyais j'ai aussi donné mon rapport à l'IA afin qu'il me fasse un retour sur la abse des critères</t>
  </si>
  <si>
    <t>Temps effectué</t>
  </si>
  <si>
    <t>Plannifié</t>
  </si>
  <si>
    <t>Journal de travail</t>
  </si>
  <si>
    <t xml:space="preserve">Rapport </t>
  </si>
  <si>
    <t>Recherches RGPD + ajustement (~1h)</t>
  </si>
  <si>
    <t>Planification</t>
  </si>
  <si>
    <t xml:space="preserve">Gestion des rôles </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</si>
  <si>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</si>
  <si>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</si>
  <si>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</si>
  <si>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</si>
  <si>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</si>
  <si>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Tâches non planifiée</t>
  </si>
  <si>
    <t xml:space="preserve">Total </t>
  </si>
  <si>
    <t xml:space="preserve">Analyse </t>
  </si>
  <si>
    <t>Implémentation</t>
  </si>
  <si>
    <t>Tests</t>
  </si>
  <si>
    <t>Documentation</t>
  </si>
  <si>
    <t>Pondération des tâches effectuées</t>
  </si>
  <si>
    <t>Pondération des tâches planifiées</t>
  </si>
  <si>
    <t>J'ai commencé à modifier mon rapport suite au retours de l'IA</t>
  </si>
  <si>
    <t>J'ai continué de modifier mon rapport où j'ai notament corrigé des fautes d'orthographes</t>
  </si>
  <si>
    <t>J'ai continué le rapport</t>
  </si>
  <si>
    <t xml:space="preserve">J'ai rattrapé le retard du 18.05.2026 où j'ai paufiné mon rapport j'ai notament continué de corriger les fautes que je voyais </t>
  </si>
  <si>
    <t xml:space="preserve">J'ai fait les derniers ajustement sur mon rapport notament les annexes et corrigé certain point que ma mère ne comprenait pas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</si>
</sst>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h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5">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
      <patternFill patternType="solid">
        <fgColor theme="0" tint="-0.14999847407452621"/>
        <bgColor indexed="64"/>
      </patternFill>
    </fill>
  </fills>
  <borders count="13">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62">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20" fontId="3" fillId="0" borderId="0" xfId="0" applyNumberFormat="1" applyFont="1" applyAlignment="1">
      <alignment horizontal="right" vertical="center"/>
    </xf>
    <xf numFmtId="165" fontId="3" fillId="0" borderId="0" xfId="0" applyNumberFormat="1" applyFont="1" applyAlignment="1">
      <alignment vertical="center"/>
    </xf>
    <xf numFmtId="0" fontId="3" fillId="4" borderId="0" xfId="0" applyFont="1" applyFill="1" applyAlignment="1">
      <alignment vertical="center"/>
    </xf>
    <xf numFmtId="20" fontId="3" fillId="4" borderId="0" xfId="0" applyNumberFormat="1" applyFont="1" applyFill="1" applyAlignment="1">
      <alignment vertical="center"/>
    </xf>
    <xf numFmtId="164" fontId="3" fillId="4" borderId="0" xfId="0" applyNumberFormat="1" applyFont="1" applyFill="1" applyAlignment="1">
      <alignment vertical="center"/>
    </xf>
    <xf numFmtId="0" fontId="3" fillId="4" borderId="0" xfId="0" applyFont="1" applyFill="1" applyAlignment="1">
      <alignment vertical="center" wrapText="1"/>
    </xf>
    <xf numFmtId="165" fontId="3" fillId="4" borderId="0" xfId="0" applyNumberFormat="1" applyFont="1" applyFill="1" applyAlignment="1">
      <alignment vertical="center"/>
    </xf>
    <xf numFmtId="0" fontId="3" fillId="4" borderId="12" xfId="0" applyFont="1" applyFill="1" applyBorder="1" applyAlignment="1">
      <alignment vertical="center"/>
    </xf>
    <xf numFmtId="0" fontId="3" fillId="4" borderId="12" xfId="0" applyFont="1" applyFill="1" applyBorder="1" applyAlignment="1">
      <alignment horizontal="right" vertical="center"/>
    </xf>
    <xf numFmtId="0" fontId="0" fillId="4" borderId="0" xfId="0" applyFill="1"/>
    <xf numFmtId="0" fontId="0" fillId="4" borderId="0" xfId="0" applyFill="1" applyAlignment="1">
      <alignment horizontal="right"/>
    </xf>
    <xf numFmtId="9" fontId="0" fillId="4" borderId="0" xfId="0" applyNumberFormat="1" applyFill="1"/>
    <xf numFmtId="10" fontId="0" fillId="4" borderId="0" xfId="0" applyNumberFormat="1" applyFill="1"/>
    <xf numFmtId="10" fontId="0" fillId="0" borderId="0" xfId="0" applyNumberFormat="1"/>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H" sz="1400" b="0" i="0" u="none" strike="noStrike" kern="1200" spc="0" baseline="0">
                <a:solidFill>
                  <a:sysClr val="windowText" lastClr="000000">
                    <a:lumMod val="65000"/>
                    <a:lumOff val="35000"/>
                  </a:sysClr>
                </a:solidFill>
              </a:rPr>
              <a:t>Comparaison des heures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clustered"/>
        <c:varyColors val="0"/>
        <c:ser>
          <c:idx val="0"/>
          <c:order val="0"/>
          <c:tx>
            <c:strRef>
              <c:f>Comparaison!$B$5</c:f>
              <c:strCache>
                <c:ptCount val="1"/>
                <c:pt idx="0">
                  <c:v>Temps effectué</c:v>
                </c:pt>
              </c:strCache>
            </c:strRef>
          </c:tx>
          <c:spPr>
            <a:solidFill>
              <a:schemeClr val="accent1"/>
            </a:solidFill>
            <a:ln>
              <a:noFill/>
            </a:ln>
            <a:effectLst/>
          </c:spPr>
          <c:invertIfNegative val="0"/>
          <c:cat>
            <c:strRef>
              <c:f>Comparaison!$A$6:$A$17</c:f>
              <c:strCache>
                <c:ptCount val="12"/>
                <c:pt idx="0">
                  <c:v>Journal de travail</c:v>
                </c:pt>
                <c:pt idx="1">
                  <c:v>Rapport </c:v>
                </c:pt>
                <c:pt idx="2">
                  <c:v>Recherches RGPD + ajustement (~1h)</c:v>
                </c:pt>
                <c:pt idx="3">
                  <c:v>Planification</c:v>
                </c:pt>
                <c:pt idx="4">
                  <c:v>Maquettes</c:v>
                </c:pt>
                <c:pt idx="5">
                  <c:v>Gestion des rôles </c:v>
                </c:pt>
                <c:pt idx="6">
                  <c:v>Système d'inscription/désinscription</c:v>
                </c:pt>
                <c:pt idx="7">
                  <c:v>Interface de composition basique &amp; Interface de séléction des contact</c:v>
                </c:pt>
                <c:pt idx="8">
                  <c:v>Implémentation de la file d'attente &amp; développement du processus de relais</c:v>
                </c:pt>
                <c:pt idx="9">
                  <c:v>Système de tracking</c:v>
                </c:pt>
                <c:pt idx="10">
                  <c:v>Réalisation des tests</c:v>
                </c:pt>
                <c:pt idx="11">
                  <c:v>Tâches non planifiée</c:v>
                </c:pt>
              </c:strCache>
            </c:strRef>
          </c:cat>
          <c:val>
            <c:numRef>
              <c:f>Comparaison!$B$6:$B$17</c:f>
              <c:numCache>
                <c:formatCode>[h]:mm</c:formatCode>
                <c:ptCount val="12"/>
                <c:pt idx="0" formatCode="h:mm">
                  <c:v>0.125</c:v>
                </c:pt>
                <c:pt idx="1">
                  <c:v>1.6611111111111112</c:v>
                </c:pt>
                <c:pt idx="2" formatCode="h:mm">
                  <c:v>6.5972222222222224E-2</c:v>
                </c:pt>
                <c:pt idx="3" formatCode="h:mm">
                  <c:v>8.3333333333333329E-2</c:v>
                </c:pt>
                <c:pt idx="4" formatCode="h:mm">
                  <c:v>0.11805555555555555</c:v>
                </c:pt>
                <c:pt idx="5" formatCode="h:mm">
                  <c:v>0.15625</c:v>
                </c:pt>
                <c:pt idx="6" formatCode="h:mm">
                  <c:v>0.18402777777777779</c:v>
                </c:pt>
                <c:pt idx="7" formatCode="h:mm">
                  <c:v>0.19791666666666666</c:v>
                </c:pt>
                <c:pt idx="8" formatCode="h:mm">
                  <c:v>0.25347222222222221</c:v>
                </c:pt>
                <c:pt idx="9" formatCode="h:mm">
                  <c:v>0.12152777777777778</c:v>
                </c:pt>
                <c:pt idx="10" formatCode="h:mm">
                  <c:v>0.14930555555555555</c:v>
                </c:pt>
                <c:pt idx="11" formatCode="[hh]:mm">
                  <c:v>0.6340277777777783</c:v>
                </c:pt>
              </c:numCache>
            </c:numRef>
          </c:val>
          <c:extLst>
            <c:ext xmlns:c16="http://schemas.microsoft.com/office/drawing/2014/chart" uri="{C3380CC4-5D6E-409C-BE32-E72D297353CC}">
              <c16:uniqueId val="{00000000-DB48-4BB2-8DC1-CEF885D499F6}"/>
            </c:ext>
          </c:extLst>
        </c:ser>
        <c:ser>
          <c:idx val="1"/>
          <c:order val="1"/>
          <c:tx>
            <c:strRef>
              <c:f>Comparaison!$C$5</c:f>
              <c:strCache>
                <c:ptCount val="1"/>
                <c:pt idx="0">
                  <c:v>Plannifié</c:v>
                </c:pt>
              </c:strCache>
            </c:strRef>
          </c:tx>
          <c:spPr>
            <a:solidFill>
              <a:schemeClr val="accent2"/>
            </a:solidFill>
            <a:ln>
              <a:noFill/>
            </a:ln>
            <a:effectLst/>
          </c:spPr>
          <c:invertIfNegative val="0"/>
          <c:cat>
            <c:strRef>
              <c:f>Comparaison!$A$6:$A$17</c:f>
              <c:strCache>
                <c:ptCount val="12"/>
                <c:pt idx="0">
                  <c:v>Journal de travail</c:v>
                </c:pt>
                <c:pt idx="1">
                  <c:v>Rapport </c:v>
                </c:pt>
                <c:pt idx="2">
                  <c:v>Recherches RGPD + ajustement (~1h)</c:v>
                </c:pt>
                <c:pt idx="3">
                  <c:v>Planification</c:v>
                </c:pt>
                <c:pt idx="4">
                  <c:v>Maquettes</c:v>
                </c:pt>
                <c:pt idx="5">
                  <c:v>Gestion des rôles </c:v>
                </c:pt>
                <c:pt idx="6">
                  <c:v>Système d'inscription/désinscription</c:v>
                </c:pt>
                <c:pt idx="7">
                  <c:v>Interface de composition basique &amp; Interface de séléction des contact</c:v>
                </c:pt>
                <c:pt idx="8">
                  <c:v>Implémentation de la file d'attente &amp; développement du processus de relais</c:v>
                </c:pt>
                <c:pt idx="9">
                  <c:v>Système de tracking</c:v>
                </c:pt>
                <c:pt idx="10">
                  <c:v>Réalisation des tests</c:v>
                </c:pt>
                <c:pt idx="11">
                  <c:v>Tâches non planifiée</c:v>
                </c:pt>
              </c:strCache>
            </c:strRef>
          </c:cat>
          <c:val>
            <c:numRef>
              <c:f>Comparaison!$C$6:$C$17</c:f>
              <c:numCache>
                <c:formatCode>h:mm</c:formatCode>
                <c:ptCount val="12"/>
                <c:pt idx="0">
                  <c:v>0.41666666666666669</c:v>
                </c:pt>
                <c:pt idx="1">
                  <c:v>0.41666666666666669</c:v>
                </c:pt>
                <c:pt idx="2">
                  <c:v>0.625</c:v>
                </c:pt>
                <c:pt idx="3">
                  <c:v>0.125</c:v>
                </c:pt>
                <c:pt idx="4">
                  <c:v>0.33333333333333331</c:v>
                </c:pt>
                <c:pt idx="5">
                  <c:v>0.25</c:v>
                </c:pt>
                <c:pt idx="6">
                  <c:v>0.16666666666666666</c:v>
                </c:pt>
                <c:pt idx="7">
                  <c:v>0.33333333333333331</c:v>
                </c:pt>
                <c:pt idx="8">
                  <c:v>0.33333333333333331</c:v>
                </c:pt>
                <c:pt idx="9">
                  <c:v>0.25</c:v>
                </c:pt>
                <c:pt idx="10">
                  <c:v>0.20833333333333334</c:v>
                </c:pt>
                <c:pt idx="11">
                  <c:v>0</c:v>
                </c:pt>
              </c:numCache>
            </c:numRef>
          </c:val>
          <c:extLst>
            <c:ext xmlns:c16="http://schemas.microsoft.com/office/drawing/2014/chart" uri="{C3380CC4-5D6E-409C-BE32-E72D297353CC}">
              <c16:uniqueId val="{00000001-DB48-4BB2-8DC1-CEF885D499F6}"/>
            </c:ext>
          </c:extLst>
        </c:ser>
        <c:dLbls>
          <c:showLegendKey val="0"/>
          <c:showVal val="0"/>
          <c:showCatName val="0"/>
          <c:showSerName val="0"/>
          <c:showPercent val="0"/>
          <c:showBubbleSize val="0"/>
        </c:dLbls>
        <c:gapWidth val="182"/>
        <c:axId val="849253695"/>
        <c:axId val="849251295"/>
      </c:barChart>
      <c:catAx>
        <c:axId val="849253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849251295"/>
        <c:crosses val="autoZero"/>
        <c:auto val="1"/>
        <c:lblAlgn val="ctr"/>
        <c:lblOffset val="100"/>
        <c:noMultiLvlLbl val="0"/>
      </c:catAx>
      <c:valAx>
        <c:axId val="849251295"/>
        <c:scaling>
          <c:orientation val="minMax"/>
        </c:scaling>
        <c:delete val="0"/>
        <c:axPos val="b"/>
        <c:majorGridlines>
          <c:spPr>
            <a:ln w="9525" cap="flat" cmpd="sng" algn="ctr">
              <a:solidFill>
                <a:schemeClr val="tx1">
                  <a:lumMod val="15000"/>
                  <a:lumOff val="85000"/>
                </a:schemeClr>
              </a:solidFill>
              <a:round/>
            </a:ln>
            <a:effectLst/>
          </c:spPr>
        </c:majorGridlines>
        <c:numFmt formatCode="[hh]:mm"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849253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Comparaison!$B$27</c:f>
              <c:strCache>
                <c:ptCount val="1"/>
                <c:pt idx="0">
                  <c:v>Pondération des tâches planifiées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06E-4BCD-9573-76072FE179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6E-4BCD-9573-76072FE179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06E-4BCD-9573-76072FE1798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06E-4BCD-9573-76072FE179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Comparaison!$A$28:$A$31</c:f>
              <c:strCache>
                <c:ptCount val="4"/>
                <c:pt idx="0">
                  <c:v>Analyse </c:v>
                </c:pt>
                <c:pt idx="1">
                  <c:v>Implémentation</c:v>
                </c:pt>
                <c:pt idx="2">
                  <c:v>Tests</c:v>
                </c:pt>
                <c:pt idx="3">
                  <c:v>Documentation</c:v>
                </c:pt>
              </c:strCache>
            </c:strRef>
          </c:cat>
          <c:val>
            <c:numRef>
              <c:f>Comparaison!$B$28:$B$31</c:f>
              <c:numCache>
                <c:formatCode>0%</c:formatCode>
                <c:ptCount val="4"/>
                <c:pt idx="0">
                  <c:v>0.2</c:v>
                </c:pt>
                <c:pt idx="1">
                  <c:v>0.45</c:v>
                </c:pt>
                <c:pt idx="2">
                  <c:v>0.15</c:v>
                </c:pt>
                <c:pt idx="3">
                  <c:v>0.2</c:v>
                </c:pt>
              </c:numCache>
            </c:numRef>
          </c:val>
          <c:extLst>
            <c:ext xmlns:c16="http://schemas.microsoft.com/office/drawing/2014/chart" uri="{C3380CC4-5D6E-409C-BE32-E72D297353CC}">
              <c16:uniqueId val="{00000000-D1CB-4102-956F-88F27053FE2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Comparaison!$B$41</c:f>
              <c:strCache>
                <c:ptCount val="1"/>
                <c:pt idx="0">
                  <c:v>Pondération des tâches effectuées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5D8-4C09-9C0F-003D942ED69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3FC5-43C2-843A-98313E86ABC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5D8-4C09-9C0F-003D942ED69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3FC5-43C2-843A-98313E86ABCC}"/>
              </c:ext>
            </c:extLst>
          </c:dPt>
          <c:dLbls>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extLst>
                <c:ext xmlns:c16="http://schemas.microsoft.com/office/drawing/2014/chart" uri="{C3380CC4-5D6E-409C-BE32-E72D297353CC}">
                  <c16:uniqueId val="{00000001-3FC5-43C2-843A-98313E86ABCC}"/>
                </c:ext>
              </c:extLst>
            </c:dLbl>
            <c:dLbl>
              <c:idx val="3"/>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extLst>
                <c:ext xmlns:c16="http://schemas.microsoft.com/office/drawing/2014/chart" uri="{C3380CC4-5D6E-409C-BE32-E72D297353CC}">
                  <c16:uniqueId val="{00000002-3FC5-43C2-843A-98313E86ABC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Comparaison!$A$42:$A$45</c:f>
              <c:strCache>
                <c:ptCount val="4"/>
                <c:pt idx="0">
                  <c:v>Analyse </c:v>
                </c:pt>
                <c:pt idx="1">
                  <c:v>Implémentation</c:v>
                </c:pt>
                <c:pt idx="2">
                  <c:v>Tests</c:v>
                </c:pt>
                <c:pt idx="3">
                  <c:v>Documentation</c:v>
                </c:pt>
              </c:strCache>
            </c:strRef>
          </c:cat>
          <c:val>
            <c:numRef>
              <c:f>Comparaison!$B$42:$B$45</c:f>
              <c:numCache>
                <c:formatCode>0.00%</c:formatCode>
                <c:ptCount val="4"/>
                <c:pt idx="0">
                  <c:v>7.1296296296296288E-2</c:v>
                </c:pt>
                <c:pt idx="1">
                  <c:v>0.41259259259259273</c:v>
                </c:pt>
                <c:pt idx="2">
                  <c:v>3.9814814814814817E-2</c:v>
                </c:pt>
                <c:pt idx="3">
                  <c:v>0.47629629629629633</c:v>
                </c:pt>
              </c:numCache>
            </c:numRef>
          </c:val>
          <c:extLst>
            <c:ext xmlns:c16="http://schemas.microsoft.com/office/drawing/2014/chart" uri="{C3380CC4-5D6E-409C-BE32-E72D297353CC}">
              <c16:uniqueId val="{00000000-3FC5-43C2-843A-98313E86ABC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3</xdr:col>
      <xdr:colOff>238125</xdr:colOff>
      <xdr:row>3</xdr:row>
      <xdr:rowOff>166686</xdr:rowOff>
    </xdr:from>
    <xdr:to>
      <xdr:col>14</xdr:col>
      <xdr:colOff>752475</xdr:colOff>
      <xdr:row>20</xdr:row>
      <xdr:rowOff>19049</xdr:rowOff>
    </xdr:to>
    <xdr:graphicFrame macro="">
      <xdr:nvGraphicFramePr>
        <xdr:cNvPr id="3" name="Graphique 2">
          <a:extLst>
            <a:ext uri="{FF2B5EF4-FFF2-40B4-BE49-F238E27FC236}">
              <a16:creationId xmlns:a16="http://schemas.microsoft.com/office/drawing/2014/main" id="{997BFF43-4A2E-D6BE-890D-890A26BAEC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247650</xdr:colOff>
      <xdr:row>21</xdr:row>
      <xdr:rowOff>23812</xdr:rowOff>
    </xdr:from>
    <xdr:to>
      <xdr:col>9</xdr:col>
      <xdr:colOff>247650</xdr:colOff>
      <xdr:row>37</xdr:row>
      <xdr:rowOff>23812</xdr:rowOff>
    </xdr:to>
    <xdr:graphicFrame macro="">
      <xdr:nvGraphicFramePr>
        <xdr:cNvPr id="4" name="Graphique 3">
          <a:extLst>
            <a:ext uri="{FF2B5EF4-FFF2-40B4-BE49-F238E27FC236}">
              <a16:creationId xmlns:a16="http://schemas.microsoft.com/office/drawing/2014/main" id="{711BAC2F-7CF4-1843-9BDB-2EB3321683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276225</xdr:colOff>
      <xdr:row>37</xdr:row>
      <xdr:rowOff>33337</xdr:rowOff>
    </xdr:from>
    <xdr:to>
      <xdr:col>9</xdr:col>
      <xdr:colOff>276225</xdr:colOff>
      <xdr:row>53</xdr:row>
      <xdr:rowOff>33337</xdr:rowOff>
    </xdr:to>
    <xdr:graphicFrame macro="">
      <xdr:nvGraphicFramePr>
        <xdr:cNvPr id="5" name="Graphique 4">
          <a:extLst>
            <a:ext uri="{FF2B5EF4-FFF2-40B4-BE49-F238E27FC236}">
              <a16:creationId xmlns:a16="http://schemas.microsoft.com/office/drawing/2014/main" id="{B915636B-8677-A995-CC7A-1369E7CCE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203"/>
  <sheetViews>
    <sheetView tabSelected="1" view="pageBreakPreview" zoomScaleNormal="100" zoomScaleSheetLayoutView="100" workbookViewId="0">
      <pane xSplit="3" ySplit="5" topLeftCell="D145" activePane="bottomRight" state="frozen"/>
      <selection pane="topRight" activeCell="D1" sqref="D1"/>
      <selection pane="bottomLeft" activeCell="A2" sqref="A2"/>
      <selection pane="bottomRight" activeCell="D159" sqref="D159"/>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50" t="s">
        <v>15</v>
      </c>
      <c r="C1" s="50"/>
      <c r="D1" s="22" t="s">
        <v>1</v>
      </c>
      <c r="E1" s="20" t="s">
        <v>33</v>
      </c>
    </row>
    <row r="2" spans="1:7" ht="21" customHeight="1" thickBot="1" x14ac:dyDescent="0.3">
      <c r="A2" s="21" t="s">
        <v>2</v>
      </c>
      <c r="B2" s="50" t="s">
        <v>16</v>
      </c>
      <c r="C2" s="50"/>
      <c r="D2" s="22" t="s">
        <v>3</v>
      </c>
      <c r="E2" s="20" t="s">
        <v>34</v>
      </c>
    </row>
    <row r="3" spans="1:7" ht="21" customHeight="1" x14ac:dyDescent="0.25">
      <c r="A3" s="21" t="s">
        <v>4</v>
      </c>
      <c r="B3" s="50" t="s">
        <v>17</v>
      </c>
      <c r="C3" s="50"/>
      <c r="D3" s="22" t="s">
        <v>5</v>
      </c>
      <c r="E3" s="19" t="s">
        <v>35</v>
      </c>
    </row>
    <row r="4" spans="1:7" ht="21" customHeight="1" x14ac:dyDescent="0.25">
      <c r="A4" s="21" t="s">
        <v>6</v>
      </c>
      <c r="B4" s="51" t="s">
        <v>36</v>
      </c>
      <c r="C4" s="52"/>
      <c r="D4" s="52"/>
      <c r="E4" s="53"/>
    </row>
    <row r="5" spans="1:7" ht="21" customHeight="1" thickBot="1" x14ac:dyDescent="0.3">
      <c r="A5" s="2" t="s">
        <v>7</v>
      </c>
      <c r="B5" s="3" t="s">
        <v>8</v>
      </c>
      <c r="C5" s="3" t="s">
        <v>9</v>
      </c>
      <c r="D5" s="2" t="s">
        <v>10</v>
      </c>
      <c r="E5" s="2" t="s">
        <v>11</v>
      </c>
    </row>
    <row r="6" spans="1:7" ht="18" customHeight="1" x14ac:dyDescent="0.25">
      <c r="A6" s="4" t="s">
        <v>18</v>
      </c>
      <c r="B6" s="57">
        <v>46139</v>
      </c>
      <c r="C6" s="5">
        <v>20</v>
      </c>
      <c r="D6" s="6"/>
      <c r="E6" s="23"/>
    </row>
    <row r="7" spans="1:7" ht="18" customHeight="1" x14ac:dyDescent="0.25">
      <c r="A7" s="7" t="s">
        <v>19</v>
      </c>
      <c r="B7" s="58"/>
      <c r="C7" s="8">
        <v>30</v>
      </c>
      <c r="D7" s="9" t="s">
        <v>37</v>
      </c>
      <c r="E7" s="8"/>
    </row>
    <row r="8" spans="1:7" ht="18" customHeight="1" x14ac:dyDescent="0.25">
      <c r="A8" s="7" t="s">
        <v>20</v>
      </c>
      <c r="B8" s="58"/>
      <c r="C8" s="8">
        <v>30</v>
      </c>
      <c r="D8" s="9"/>
      <c r="E8" s="8" t="s">
        <v>41</v>
      </c>
    </row>
    <row r="9" spans="1:7" ht="18" customHeight="1" x14ac:dyDescent="0.25">
      <c r="A9" s="7" t="s">
        <v>20</v>
      </c>
      <c r="B9" s="58"/>
      <c r="C9" s="8">
        <v>10</v>
      </c>
      <c r="D9" s="9"/>
      <c r="E9" s="8"/>
    </row>
    <row r="10" spans="1:7" ht="18" customHeight="1" x14ac:dyDescent="0.25">
      <c r="A10" s="7" t="s">
        <v>20</v>
      </c>
      <c r="B10" s="58"/>
      <c r="C10" s="10">
        <v>20</v>
      </c>
      <c r="D10" s="11"/>
      <c r="E10" s="10"/>
      <c r="F10" s="24"/>
      <c r="G10" s="24"/>
    </row>
    <row r="11" spans="1:7" ht="18" customHeight="1" x14ac:dyDescent="0.25">
      <c r="A11" s="7" t="s">
        <v>20</v>
      </c>
      <c r="B11" s="58"/>
      <c r="C11" s="10">
        <v>20</v>
      </c>
      <c r="D11" s="11" t="s">
        <v>39</v>
      </c>
      <c r="E11" s="10"/>
      <c r="F11" s="24"/>
      <c r="G11" s="24"/>
    </row>
    <row r="12" spans="1:7" x14ac:dyDescent="0.25">
      <c r="A12" s="7" t="s">
        <v>38</v>
      </c>
      <c r="B12" s="58"/>
      <c r="C12" s="10">
        <v>60</v>
      </c>
      <c r="D12" s="11" t="s">
        <v>40</v>
      </c>
      <c r="E12" s="10"/>
      <c r="F12" s="24"/>
      <c r="G12" s="24"/>
    </row>
    <row r="13" spans="1:7" ht="40.5" x14ac:dyDescent="0.25">
      <c r="A13" s="7" t="s">
        <v>43</v>
      </c>
      <c r="B13" s="58"/>
      <c r="C13" s="10">
        <v>10</v>
      </c>
      <c r="D13" s="11" t="s">
        <v>44</v>
      </c>
      <c r="E13" s="10"/>
      <c r="F13" s="24"/>
      <c r="G13" s="24"/>
    </row>
    <row r="14" spans="1:7" ht="27" x14ac:dyDescent="0.25">
      <c r="A14" s="7" t="s">
        <v>45</v>
      </c>
      <c r="B14" s="58"/>
      <c r="C14" s="10">
        <v>60</v>
      </c>
      <c r="D14" s="11" t="s">
        <v>46</v>
      </c>
      <c r="E14" s="10"/>
      <c r="F14" s="24"/>
      <c r="G14" s="24"/>
    </row>
    <row r="15" spans="1:7" ht="40.5" x14ac:dyDescent="0.25">
      <c r="A15" s="7" t="s">
        <v>38</v>
      </c>
      <c r="B15" s="58"/>
      <c r="C15" s="10">
        <v>45</v>
      </c>
      <c r="D15" s="11" t="s">
        <v>42</v>
      </c>
      <c r="E15" s="10"/>
      <c r="F15" s="24"/>
      <c r="G15" s="24"/>
    </row>
    <row r="16" spans="1:7" x14ac:dyDescent="0.25">
      <c r="A16" s="7" t="s">
        <v>45</v>
      </c>
      <c r="B16" s="58"/>
      <c r="C16" s="10">
        <v>30</v>
      </c>
      <c r="D16" s="11" t="s">
        <v>47</v>
      </c>
      <c r="E16" s="10"/>
      <c r="F16" s="24"/>
      <c r="G16" s="24"/>
    </row>
    <row r="17" spans="1:7" ht="14.25" thickBot="1" x14ac:dyDescent="0.3">
      <c r="A17" s="7"/>
      <c r="B17" s="59"/>
      <c r="C17" s="10"/>
      <c r="D17" s="11"/>
      <c r="E17" s="10"/>
    </row>
    <row r="18" spans="1:7" ht="18" customHeight="1" thickBot="1" x14ac:dyDescent="0.3">
      <c r="A18" s="12" t="s">
        <v>12</v>
      </c>
      <c r="B18" s="54" t="str">
        <f>INT(SUM(C6:C17)/60)&amp;"h"&amp;MOD(SUM(C6:C17),60)</f>
        <v>5h35</v>
      </c>
      <c r="C18" s="55"/>
      <c r="D18" s="55"/>
      <c r="E18" s="56"/>
    </row>
    <row r="19" spans="1:7" ht="18" customHeight="1" x14ac:dyDescent="0.25">
      <c r="A19" s="4" t="s">
        <v>20</v>
      </c>
      <c r="B19" s="57">
        <v>46141</v>
      </c>
      <c r="C19" s="5">
        <v>40</v>
      </c>
      <c r="D19" s="6" t="s">
        <v>48</v>
      </c>
      <c r="E19" s="5"/>
    </row>
    <row r="20" spans="1:7" ht="27" x14ac:dyDescent="0.25">
      <c r="A20" s="7" t="s">
        <v>45</v>
      </c>
      <c r="B20" s="58"/>
      <c r="C20" s="8">
        <v>55</v>
      </c>
      <c r="D20" s="9" t="s">
        <v>49</v>
      </c>
      <c r="E20" s="8"/>
    </row>
    <row r="21" spans="1:7" ht="18" customHeight="1" x14ac:dyDescent="0.2">
      <c r="A21" s="7" t="s">
        <v>45</v>
      </c>
      <c r="B21" s="58"/>
      <c r="C21" s="8">
        <v>40</v>
      </c>
      <c r="D21" s="9" t="s">
        <v>50</v>
      </c>
      <c r="E21" s="8"/>
      <c r="G21" s="25"/>
    </row>
    <row r="22" spans="1:7" ht="18" customHeight="1" x14ac:dyDescent="0.25">
      <c r="A22" s="7" t="s">
        <v>45</v>
      </c>
      <c r="B22" s="58"/>
      <c r="C22" s="8">
        <v>45</v>
      </c>
      <c r="D22" s="9" t="s">
        <v>51</v>
      </c>
      <c r="E22" s="8"/>
    </row>
    <row r="23" spans="1:7" ht="27" x14ac:dyDescent="0.25">
      <c r="A23" s="10" t="s">
        <v>52</v>
      </c>
      <c r="B23" s="58"/>
      <c r="C23" s="10">
        <v>60</v>
      </c>
      <c r="D23" s="11" t="s">
        <v>53</v>
      </c>
      <c r="E23" s="10"/>
    </row>
    <row r="24" spans="1:7" x14ac:dyDescent="0.25">
      <c r="A24" s="10" t="s">
        <v>52</v>
      </c>
      <c r="B24" s="58"/>
      <c r="C24" s="10">
        <v>60</v>
      </c>
      <c r="D24" s="11" t="s">
        <v>54</v>
      </c>
      <c r="E24" s="10"/>
    </row>
    <row r="25" spans="1:7" ht="40.5" x14ac:dyDescent="0.25">
      <c r="A25" s="10" t="s">
        <v>52</v>
      </c>
      <c r="B25" s="58"/>
      <c r="C25" s="10">
        <v>30</v>
      </c>
      <c r="D25" s="11" t="s">
        <v>55</v>
      </c>
      <c r="E25" s="10"/>
    </row>
    <row r="26" spans="1:7" x14ac:dyDescent="0.25">
      <c r="A26" s="10" t="s">
        <v>56</v>
      </c>
      <c r="B26" s="58"/>
      <c r="C26" s="10">
        <v>60</v>
      </c>
      <c r="D26" s="11" t="s">
        <v>57</v>
      </c>
      <c r="E26" s="10"/>
    </row>
    <row r="27" spans="1:7" ht="27.75" thickBot="1" x14ac:dyDescent="0.3">
      <c r="A27" s="10" t="s">
        <v>58</v>
      </c>
      <c r="B27" s="59"/>
      <c r="C27" s="10">
        <v>40</v>
      </c>
      <c r="D27" s="11" t="s">
        <v>173</v>
      </c>
      <c r="E27" s="10"/>
    </row>
    <row r="28" spans="1:7" ht="18" customHeight="1" thickBot="1" x14ac:dyDescent="0.3">
      <c r="A28" s="12" t="s">
        <v>12</v>
      </c>
      <c r="B28" s="54" t="str">
        <f>INT(SUM(C19:C27)/60)&amp;"h"&amp;MOD(SUM(C19:C27),60)</f>
        <v>7h10</v>
      </c>
      <c r="C28" s="55"/>
      <c r="D28" s="55"/>
      <c r="E28" s="56"/>
    </row>
    <row r="29" spans="1:7" ht="18" customHeight="1" x14ac:dyDescent="0.25">
      <c r="A29" s="4" t="s">
        <v>59</v>
      </c>
      <c r="B29" s="57">
        <v>46142</v>
      </c>
      <c r="C29" s="5">
        <v>60</v>
      </c>
      <c r="D29" s="6" t="s">
        <v>60</v>
      </c>
      <c r="E29" s="5"/>
    </row>
    <row r="30" spans="1:7" ht="54" x14ac:dyDescent="0.25">
      <c r="A30" s="7" t="s">
        <v>61</v>
      </c>
      <c r="B30" s="58"/>
      <c r="C30" s="8">
        <v>60</v>
      </c>
      <c r="D30" s="9" t="s">
        <v>62</v>
      </c>
      <c r="E30" s="27" t="s">
        <v>63</v>
      </c>
    </row>
    <row r="31" spans="1:7" ht="27" x14ac:dyDescent="0.25">
      <c r="A31" s="7" t="s">
        <v>38</v>
      </c>
      <c r="B31" s="58"/>
      <c r="C31" s="8">
        <v>70</v>
      </c>
      <c r="D31" s="9" t="s">
        <v>64</v>
      </c>
      <c r="E31" s="8"/>
    </row>
    <row r="32" spans="1:7" ht="18" customHeight="1" x14ac:dyDescent="0.25">
      <c r="A32" s="7"/>
      <c r="B32" s="58"/>
      <c r="C32" s="8"/>
      <c r="D32" s="9"/>
      <c r="E32" s="8"/>
    </row>
    <row r="33" spans="1:5" ht="18" customHeight="1" thickBot="1" x14ac:dyDescent="0.3">
      <c r="A33" s="10"/>
      <c r="B33" s="59"/>
      <c r="C33" s="10"/>
      <c r="D33" s="11"/>
      <c r="E33" s="10"/>
    </row>
    <row r="34" spans="1:5" ht="18" customHeight="1" thickBot="1" x14ac:dyDescent="0.3">
      <c r="A34" s="12" t="s">
        <v>12</v>
      </c>
      <c r="B34" s="54" t="str">
        <f>INT(SUM(C29:C33)/60)&amp;"h"&amp;MOD(SUM(C29:C33),60)</f>
        <v>3h10</v>
      </c>
      <c r="C34" s="55"/>
      <c r="D34" s="55"/>
      <c r="E34" s="56"/>
    </row>
    <row r="35" spans="1:5" ht="40.5" x14ac:dyDescent="0.25">
      <c r="A35" s="4" t="s">
        <v>38</v>
      </c>
      <c r="B35" s="57">
        <v>46143</v>
      </c>
      <c r="C35" s="5">
        <v>60</v>
      </c>
      <c r="D35" s="6" t="s">
        <v>65</v>
      </c>
      <c r="E35" s="5"/>
    </row>
    <row r="36" spans="1:5" ht="18" customHeight="1" x14ac:dyDescent="0.25">
      <c r="A36" s="7" t="s">
        <v>38</v>
      </c>
      <c r="B36" s="58"/>
      <c r="C36" s="8">
        <v>35</v>
      </c>
      <c r="D36" s="9" t="s">
        <v>66</v>
      </c>
      <c r="E36" s="8"/>
    </row>
    <row r="37" spans="1:5" ht="18" customHeight="1" x14ac:dyDescent="0.25">
      <c r="A37" s="7" t="s">
        <v>38</v>
      </c>
      <c r="B37" s="58"/>
      <c r="C37" s="8">
        <v>60</v>
      </c>
      <c r="D37" s="9" t="s">
        <v>67</v>
      </c>
      <c r="E37" s="8"/>
    </row>
    <row r="38" spans="1:5" ht="27" x14ac:dyDescent="0.25">
      <c r="A38" s="7" t="s">
        <v>38</v>
      </c>
      <c r="B38" s="58"/>
      <c r="C38" s="8">
        <v>30</v>
      </c>
      <c r="D38" s="9" t="s">
        <v>68</v>
      </c>
      <c r="E38" s="8"/>
    </row>
    <row r="39" spans="1:5" x14ac:dyDescent="0.25">
      <c r="A39" s="28" t="s">
        <v>69</v>
      </c>
      <c r="B39" s="58"/>
      <c r="C39" s="10">
        <v>35</v>
      </c>
      <c r="D39" s="11" t="s">
        <v>70</v>
      </c>
      <c r="E39" s="10"/>
    </row>
    <row r="40" spans="1:5" x14ac:dyDescent="0.25">
      <c r="A40" s="10" t="s">
        <v>71</v>
      </c>
      <c r="B40" s="58"/>
      <c r="C40" s="10">
        <v>20</v>
      </c>
      <c r="D40" s="11" t="s">
        <v>72</v>
      </c>
      <c r="E40" s="10"/>
    </row>
    <row r="41" spans="1:5" x14ac:dyDescent="0.25">
      <c r="A41" s="10" t="s">
        <v>71</v>
      </c>
      <c r="B41" s="58"/>
      <c r="C41" s="10">
        <v>50</v>
      </c>
      <c r="D41" s="11" t="s">
        <v>73</v>
      </c>
      <c r="E41" s="10"/>
    </row>
    <row r="42" spans="1:5" x14ac:dyDescent="0.25">
      <c r="A42" s="10" t="s">
        <v>71</v>
      </c>
      <c r="B42" s="58"/>
      <c r="C42" s="10">
        <v>45</v>
      </c>
      <c r="D42" s="11" t="s">
        <v>74</v>
      </c>
      <c r="E42" s="10"/>
    </row>
    <row r="43" spans="1:5" ht="40.5" x14ac:dyDescent="0.25">
      <c r="A43" s="10" t="s">
        <v>75</v>
      </c>
      <c r="B43" s="58"/>
      <c r="C43" s="10">
        <v>60</v>
      </c>
      <c r="D43" s="11" t="s">
        <v>76</v>
      </c>
      <c r="E43" s="29"/>
    </row>
    <row r="44" spans="1:5" ht="18" customHeight="1" thickBot="1" x14ac:dyDescent="0.3">
      <c r="A44" s="10" t="s">
        <v>75</v>
      </c>
      <c r="B44" s="59"/>
      <c r="C44" s="10">
        <v>35</v>
      </c>
      <c r="D44" s="30" t="s">
        <v>77</v>
      </c>
      <c r="E44" s="29"/>
    </row>
    <row r="45" spans="1:5" ht="18" customHeight="1" thickBot="1" x14ac:dyDescent="0.3">
      <c r="A45" s="12" t="s">
        <v>12</v>
      </c>
      <c r="B45" s="54" t="str">
        <f>INT(SUM(C35:C44)/60)&amp;"h"&amp;MOD(SUM(C35:C44),60)</f>
        <v>7h10</v>
      </c>
      <c r="C45" s="55"/>
      <c r="D45" s="55"/>
      <c r="E45" s="56"/>
    </row>
    <row r="46" spans="1:5" ht="18" customHeight="1" x14ac:dyDescent="0.25">
      <c r="A46" s="13" t="s">
        <v>75</v>
      </c>
      <c r="B46" s="57">
        <v>46146</v>
      </c>
      <c r="C46" s="13">
        <v>50</v>
      </c>
      <c r="D46" s="14" t="s">
        <v>78</v>
      </c>
      <c r="E46" s="13"/>
    </row>
    <row r="47" spans="1:5" ht="27" x14ac:dyDescent="0.25">
      <c r="A47" s="8" t="s">
        <v>75</v>
      </c>
      <c r="B47" s="58"/>
      <c r="C47" s="8">
        <v>45</v>
      </c>
      <c r="D47" s="9" t="s">
        <v>79</v>
      </c>
      <c r="E47" s="31"/>
    </row>
    <row r="48" spans="1:5" ht="18" customHeight="1" x14ac:dyDescent="0.25">
      <c r="A48" s="8" t="s">
        <v>38</v>
      </c>
      <c r="B48" s="58"/>
      <c r="C48" s="8">
        <v>60</v>
      </c>
      <c r="D48" s="9" t="s">
        <v>80</v>
      </c>
      <c r="E48" s="31"/>
    </row>
    <row r="49" spans="1:5" ht="18" customHeight="1" x14ac:dyDescent="0.25">
      <c r="A49" s="8" t="s">
        <v>38</v>
      </c>
      <c r="B49" s="58"/>
      <c r="C49" s="8">
        <v>35</v>
      </c>
      <c r="D49" s="9" t="s">
        <v>81</v>
      </c>
      <c r="E49" s="31"/>
    </row>
    <row r="50" spans="1:5" ht="27" x14ac:dyDescent="0.25">
      <c r="A50" s="8" t="s">
        <v>82</v>
      </c>
      <c r="B50" s="58"/>
      <c r="C50" s="8">
        <v>60</v>
      </c>
      <c r="D50" s="9" t="s">
        <v>83</v>
      </c>
      <c r="E50" s="31"/>
    </row>
    <row r="51" spans="1:5" ht="27" x14ac:dyDescent="0.25">
      <c r="A51" s="8" t="s">
        <v>82</v>
      </c>
      <c r="B51" s="58"/>
      <c r="C51" s="8">
        <v>25</v>
      </c>
      <c r="D51" s="9" t="s">
        <v>84</v>
      </c>
      <c r="E51" s="31"/>
    </row>
    <row r="52" spans="1:5" ht="108" x14ac:dyDescent="0.25">
      <c r="A52" s="8" t="s">
        <v>85</v>
      </c>
      <c r="B52" s="58"/>
      <c r="C52" s="8">
        <v>60</v>
      </c>
      <c r="D52" s="9" t="s">
        <v>86</v>
      </c>
      <c r="E52" s="31"/>
    </row>
    <row r="53" spans="1:5" ht="18" customHeight="1" thickBot="1" x14ac:dyDescent="0.3">
      <c r="A53" s="8"/>
      <c r="B53" s="59"/>
      <c r="C53" s="8"/>
      <c r="D53" s="32"/>
      <c r="E53" s="31"/>
    </row>
    <row r="54" spans="1:5" ht="18" customHeight="1" thickBot="1" x14ac:dyDescent="0.3">
      <c r="A54" s="12" t="s">
        <v>12</v>
      </c>
      <c r="B54" s="54" t="str">
        <f>INT(SUM(C46:C53)/60)&amp;"h"&amp;MOD(SUM(C46:C53),60)</f>
        <v>5h35</v>
      </c>
      <c r="C54" s="55"/>
      <c r="D54" s="55"/>
      <c r="E54" s="56"/>
    </row>
    <row r="55" spans="1:5" ht="18" customHeight="1" x14ac:dyDescent="0.25">
      <c r="A55" s="4" t="s">
        <v>87</v>
      </c>
      <c r="B55" s="57">
        <v>46148</v>
      </c>
      <c r="C55" s="5">
        <v>60</v>
      </c>
      <c r="D55" s="6" t="s">
        <v>88</v>
      </c>
      <c r="E55" s="5"/>
    </row>
    <row r="56" spans="1:5" ht="18" customHeight="1" x14ac:dyDescent="0.25">
      <c r="A56" s="7" t="s">
        <v>89</v>
      </c>
      <c r="B56" s="58"/>
      <c r="C56" s="8">
        <v>35</v>
      </c>
      <c r="D56" s="9" t="s">
        <v>90</v>
      </c>
      <c r="E56" s="8"/>
    </row>
    <row r="57" spans="1:5" ht="18" customHeight="1" x14ac:dyDescent="0.25">
      <c r="A57" s="7" t="s">
        <v>89</v>
      </c>
      <c r="B57" s="58"/>
      <c r="C57" s="8">
        <v>60</v>
      </c>
      <c r="D57" s="9" t="s">
        <v>91</v>
      </c>
      <c r="E57" s="8"/>
    </row>
    <row r="58" spans="1:5" ht="18" customHeight="1" x14ac:dyDescent="0.25">
      <c r="A58" s="7" t="s">
        <v>92</v>
      </c>
      <c r="B58" s="58"/>
      <c r="C58" s="8">
        <v>60</v>
      </c>
      <c r="D58" s="9" t="s">
        <v>93</v>
      </c>
      <c r="E58" s="8"/>
    </row>
    <row r="59" spans="1:5" ht="18" customHeight="1" x14ac:dyDescent="0.25">
      <c r="A59" s="28" t="s">
        <v>94</v>
      </c>
      <c r="B59" s="58"/>
      <c r="C59" s="10">
        <v>40</v>
      </c>
      <c r="D59" s="11" t="s">
        <v>95</v>
      </c>
      <c r="E59" s="10"/>
    </row>
    <row r="60" spans="1:5" ht="18" customHeight="1" x14ac:dyDescent="0.25">
      <c r="A60" s="28" t="s">
        <v>94</v>
      </c>
      <c r="B60" s="58"/>
      <c r="C60" s="10">
        <v>10</v>
      </c>
      <c r="D60" s="11" t="s">
        <v>96</v>
      </c>
      <c r="E60" s="10"/>
    </row>
    <row r="61" spans="1:5" ht="18" customHeight="1" x14ac:dyDescent="0.25">
      <c r="A61" s="28" t="s">
        <v>97</v>
      </c>
      <c r="B61" s="58"/>
      <c r="C61" s="10">
        <v>20</v>
      </c>
      <c r="D61" s="11" t="s">
        <v>98</v>
      </c>
      <c r="E61" s="10"/>
    </row>
    <row r="62" spans="1:5" ht="18" customHeight="1" x14ac:dyDescent="0.25">
      <c r="A62" s="28" t="s">
        <v>94</v>
      </c>
      <c r="B62" s="58"/>
      <c r="C62" s="10">
        <v>20</v>
      </c>
      <c r="D62" s="11" t="s">
        <v>99</v>
      </c>
      <c r="E62" s="10"/>
    </row>
    <row r="63" spans="1:5" ht="54" x14ac:dyDescent="0.25">
      <c r="A63" s="28" t="s">
        <v>58</v>
      </c>
      <c r="B63" s="58"/>
      <c r="C63" s="10">
        <v>35</v>
      </c>
      <c r="D63" s="11" t="s">
        <v>100</v>
      </c>
      <c r="E63" s="10" t="s">
        <v>101</v>
      </c>
    </row>
    <row r="64" spans="1:5" x14ac:dyDescent="0.25">
      <c r="A64" s="28" t="s">
        <v>172</v>
      </c>
      <c r="B64" s="58"/>
      <c r="C64" s="10">
        <v>45</v>
      </c>
      <c r="D64" s="11" t="s">
        <v>102</v>
      </c>
      <c r="E64" s="10"/>
    </row>
    <row r="65" spans="1:5" ht="27" x14ac:dyDescent="0.25">
      <c r="A65" s="28" t="s">
        <v>172</v>
      </c>
      <c r="B65" s="58"/>
      <c r="C65" s="10">
        <v>45</v>
      </c>
      <c r="D65" s="11" t="s">
        <v>103</v>
      </c>
      <c r="E65" s="10"/>
    </row>
    <row r="66" spans="1:5" ht="18" customHeight="1" thickBot="1" x14ac:dyDescent="0.3">
      <c r="A66" s="10"/>
      <c r="B66" s="59"/>
      <c r="C66" s="10"/>
      <c r="D66" s="11"/>
      <c r="E66" s="10"/>
    </row>
    <row r="67" spans="1:5" ht="18" customHeight="1" thickBot="1" x14ac:dyDescent="0.3">
      <c r="A67" s="12" t="s">
        <v>12</v>
      </c>
      <c r="B67" s="54" t="str">
        <f>INT(SUM(C55:C66)/60)&amp;"h"&amp;MOD(SUM(C55:C66),60)</f>
        <v>7h10</v>
      </c>
      <c r="C67" s="55"/>
      <c r="D67" s="55"/>
      <c r="E67" s="56"/>
    </row>
    <row r="68" spans="1:5" ht="27" x14ac:dyDescent="0.25">
      <c r="A68" s="4" t="s">
        <v>58</v>
      </c>
      <c r="B68" s="57">
        <v>46149</v>
      </c>
      <c r="C68" s="5">
        <v>60</v>
      </c>
      <c r="D68" s="6" t="s">
        <v>104</v>
      </c>
      <c r="E68" s="5"/>
    </row>
    <row r="69" spans="1:5" ht="54" x14ac:dyDescent="0.25">
      <c r="A69" s="7" t="s">
        <v>105</v>
      </c>
      <c r="B69" s="58"/>
      <c r="C69" s="8">
        <v>60</v>
      </c>
      <c r="D69" s="9" t="s">
        <v>106</v>
      </c>
      <c r="E69" s="8"/>
    </row>
    <row r="70" spans="1:5" ht="81" x14ac:dyDescent="0.25">
      <c r="A70" s="7" t="s">
        <v>107</v>
      </c>
      <c r="B70" s="58"/>
      <c r="C70" s="8">
        <v>55</v>
      </c>
      <c r="D70" s="9" t="s">
        <v>108</v>
      </c>
      <c r="E70" s="8"/>
    </row>
    <row r="71" spans="1:5" ht="18" customHeight="1" x14ac:dyDescent="0.25">
      <c r="A71" s="7" t="s">
        <v>38</v>
      </c>
      <c r="B71" s="58"/>
      <c r="C71" s="8">
        <v>15</v>
      </c>
      <c r="D71" s="9" t="s">
        <v>109</v>
      </c>
      <c r="E71" s="8"/>
    </row>
    <row r="72" spans="1:5" ht="18" customHeight="1" thickBot="1" x14ac:dyDescent="0.3">
      <c r="A72" s="10"/>
      <c r="B72" s="59"/>
      <c r="C72" s="10"/>
      <c r="D72" s="11"/>
      <c r="E72" s="10"/>
    </row>
    <row r="73" spans="1:5" ht="18" customHeight="1" thickBot="1" x14ac:dyDescent="0.3">
      <c r="A73" s="12" t="s">
        <v>12</v>
      </c>
      <c r="B73" s="54" t="str">
        <f>INT(SUM(C68:C72)/60)&amp;"h"&amp;MOD(SUM(C68:C72),60)</f>
        <v>3h10</v>
      </c>
      <c r="C73" s="55"/>
      <c r="D73" s="55"/>
      <c r="E73" s="56"/>
    </row>
    <row r="74" spans="1:5" ht="40.5" x14ac:dyDescent="0.25">
      <c r="A74" s="4" t="s">
        <v>92</v>
      </c>
      <c r="B74" s="57">
        <v>46150</v>
      </c>
      <c r="C74" s="5">
        <v>10</v>
      </c>
      <c r="D74" s="6" t="s">
        <v>110</v>
      </c>
      <c r="E74" s="5"/>
    </row>
    <row r="75" spans="1:5" ht="27" x14ac:dyDescent="0.25">
      <c r="A75" s="7" t="s">
        <v>38</v>
      </c>
      <c r="B75" s="58"/>
      <c r="C75" s="8">
        <v>50</v>
      </c>
      <c r="D75" s="9" t="s">
        <v>111</v>
      </c>
      <c r="E75" s="8"/>
    </row>
    <row r="76" spans="1:5" ht="18" customHeight="1" x14ac:dyDescent="0.25">
      <c r="A76" s="7" t="s">
        <v>38</v>
      </c>
      <c r="B76" s="58"/>
      <c r="C76" s="8">
        <v>35</v>
      </c>
      <c r="D76" s="9" t="s">
        <v>112</v>
      </c>
      <c r="E76" s="8"/>
    </row>
    <row r="77" spans="1:5" ht="27" x14ac:dyDescent="0.25">
      <c r="A77" s="7" t="s">
        <v>113</v>
      </c>
      <c r="B77" s="58"/>
      <c r="C77" s="8">
        <v>60</v>
      </c>
      <c r="D77" s="9" t="s">
        <v>114</v>
      </c>
      <c r="E77" s="8"/>
    </row>
    <row r="78" spans="1:5" x14ac:dyDescent="0.25">
      <c r="A78" s="28" t="s">
        <v>113</v>
      </c>
      <c r="B78" s="58"/>
      <c r="C78" s="10">
        <v>60</v>
      </c>
      <c r="D78" s="11" t="s">
        <v>115</v>
      </c>
      <c r="E78" s="10"/>
    </row>
    <row r="79" spans="1:5" x14ac:dyDescent="0.25">
      <c r="A79" s="28" t="s">
        <v>38</v>
      </c>
      <c r="B79" s="58"/>
      <c r="C79" s="10">
        <v>25</v>
      </c>
      <c r="D79" s="11" t="s">
        <v>116</v>
      </c>
      <c r="E79" s="10"/>
    </row>
    <row r="80" spans="1:5" ht="27" x14ac:dyDescent="0.25">
      <c r="A80" s="28" t="s">
        <v>38</v>
      </c>
      <c r="B80" s="58"/>
      <c r="C80" s="10">
        <v>60</v>
      </c>
      <c r="D80" s="11" t="s">
        <v>117</v>
      </c>
      <c r="E80" s="10"/>
    </row>
    <row r="81" spans="1:5" x14ac:dyDescent="0.25">
      <c r="A81" s="28" t="s">
        <v>38</v>
      </c>
      <c r="B81" s="58"/>
      <c r="C81" s="10">
        <v>60</v>
      </c>
      <c r="D81" s="11" t="s">
        <v>112</v>
      </c>
      <c r="E81" s="10"/>
    </row>
    <row r="82" spans="1:5" x14ac:dyDescent="0.25">
      <c r="A82" s="28" t="s">
        <v>38</v>
      </c>
      <c r="B82" s="58"/>
      <c r="C82" s="10">
        <v>60</v>
      </c>
      <c r="D82" s="11" t="s">
        <v>118</v>
      </c>
      <c r="E82" s="10"/>
    </row>
    <row r="83" spans="1:5" ht="18" customHeight="1" thickBot="1" x14ac:dyDescent="0.3">
      <c r="A83" s="10" t="s">
        <v>38</v>
      </c>
      <c r="B83" s="59"/>
      <c r="C83" s="10">
        <v>10</v>
      </c>
      <c r="D83" s="11" t="s">
        <v>118</v>
      </c>
      <c r="E83" s="10"/>
    </row>
    <row r="84" spans="1:5" ht="18" customHeight="1" thickBot="1" x14ac:dyDescent="0.3">
      <c r="A84" s="12" t="s">
        <v>12</v>
      </c>
      <c r="B84" s="54" t="str">
        <f>INT(SUM(C74:C83)/60)&amp;"h"&amp;MOD(SUM(C74:C83),60)</f>
        <v>7h10</v>
      </c>
      <c r="C84" s="55"/>
      <c r="D84" s="55"/>
      <c r="E84" s="56"/>
    </row>
    <row r="85" spans="1:5" ht="18" customHeight="1" x14ac:dyDescent="0.25">
      <c r="A85" s="4" t="s">
        <v>38</v>
      </c>
      <c r="B85" s="57">
        <v>46153</v>
      </c>
      <c r="C85" s="5">
        <v>20</v>
      </c>
      <c r="D85" s="6" t="s">
        <v>119</v>
      </c>
      <c r="E85" s="5"/>
    </row>
    <row r="86" spans="1:5" ht="18" customHeight="1" x14ac:dyDescent="0.25">
      <c r="A86" s="7" t="s">
        <v>120</v>
      </c>
      <c r="B86" s="58"/>
      <c r="C86" s="8">
        <v>40</v>
      </c>
      <c r="D86" s="9" t="s">
        <v>121</v>
      </c>
      <c r="E86" s="8"/>
    </row>
    <row r="87" spans="1:5" ht="18" customHeight="1" x14ac:dyDescent="0.25">
      <c r="A87" s="7" t="s">
        <v>38</v>
      </c>
      <c r="B87" s="58"/>
      <c r="C87" s="8">
        <v>60</v>
      </c>
      <c r="D87" s="9" t="s">
        <v>122</v>
      </c>
      <c r="E87" s="8"/>
    </row>
    <row r="88" spans="1:5" ht="18" customHeight="1" x14ac:dyDescent="0.25">
      <c r="A88" s="7" t="s">
        <v>38</v>
      </c>
      <c r="B88" s="58"/>
      <c r="C88" s="8">
        <v>60</v>
      </c>
      <c r="D88" s="9" t="s">
        <v>112</v>
      </c>
      <c r="E88" s="8"/>
    </row>
    <row r="89" spans="1:5" ht="18" customHeight="1" x14ac:dyDescent="0.25">
      <c r="A89" s="28" t="s">
        <v>38</v>
      </c>
      <c r="B89" s="58"/>
      <c r="C89" s="10">
        <v>15</v>
      </c>
      <c r="D89" s="11" t="s">
        <v>118</v>
      </c>
      <c r="E89" s="10"/>
    </row>
    <row r="90" spans="1:5" ht="18" customHeight="1" x14ac:dyDescent="0.25">
      <c r="A90" s="28" t="s">
        <v>38</v>
      </c>
      <c r="B90" s="58"/>
      <c r="C90" s="10">
        <v>60</v>
      </c>
      <c r="D90" s="11" t="s">
        <v>123</v>
      </c>
      <c r="E90" s="10"/>
    </row>
    <row r="91" spans="1:5" ht="27" x14ac:dyDescent="0.25">
      <c r="A91" s="28" t="s">
        <v>38</v>
      </c>
      <c r="B91" s="58"/>
      <c r="C91" s="10">
        <v>60</v>
      </c>
      <c r="D91" s="11" t="s">
        <v>124</v>
      </c>
      <c r="E91" s="10"/>
    </row>
    <row r="92" spans="1:5" ht="18" customHeight="1" thickBot="1" x14ac:dyDescent="0.3">
      <c r="A92" s="10" t="s">
        <v>38</v>
      </c>
      <c r="B92" s="59"/>
      <c r="C92" s="10">
        <v>20</v>
      </c>
      <c r="D92" s="9" t="s">
        <v>112</v>
      </c>
      <c r="E92" s="10"/>
    </row>
    <row r="93" spans="1:5" ht="18" customHeight="1" thickBot="1" x14ac:dyDescent="0.3">
      <c r="A93" s="12" t="s">
        <v>12</v>
      </c>
      <c r="B93" s="54" t="str">
        <f>INT(SUM(C85:C92)/60)&amp;"h"&amp;MOD(SUM(C85:C92),60)</f>
        <v>5h35</v>
      </c>
      <c r="C93" s="55"/>
      <c r="D93" s="55"/>
      <c r="E93" s="56"/>
    </row>
    <row r="94" spans="1:5" ht="27" x14ac:dyDescent="0.25">
      <c r="A94" s="13" t="s">
        <v>38</v>
      </c>
      <c r="B94" s="57">
        <v>46155</v>
      </c>
      <c r="C94" s="13">
        <v>60</v>
      </c>
      <c r="D94" s="14" t="s">
        <v>125</v>
      </c>
      <c r="E94" s="13"/>
    </row>
    <row r="95" spans="1:5" ht="18" customHeight="1" x14ac:dyDescent="0.25">
      <c r="A95" s="8" t="s">
        <v>38</v>
      </c>
      <c r="B95" s="58"/>
      <c r="C95" s="8">
        <v>35</v>
      </c>
      <c r="D95" s="9" t="s">
        <v>112</v>
      </c>
      <c r="E95" s="8"/>
    </row>
    <row r="96" spans="1:5" ht="40.5" x14ac:dyDescent="0.25">
      <c r="A96" s="8" t="s">
        <v>38</v>
      </c>
      <c r="B96" s="58"/>
      <c r="C96" s="8">
        <v>60</v>
      </c>
      <c r="D96" s="9" t="s">
        <v>126</v>
      </c>
      <c r="E96" s="8"/>
    </row>
    <row r="97" spans="1:5" ht="27" x14ac:dyDescent="0.25">
      <c r="A97" s="8" t="s">
        <v>38</v>
      </c>
      <c r="B97" s="58"/>
      <c r="C97" s="8">
        <v>60</v>
      </c>
      <c r="D97" s="9" t="s">
        <v>127</v>
      </c>
      <c r="E97" s="8"/>
    </row>
    <row r="98" spans="1:5" x14ac:dyDescent="0.25">
      <c r="A98" s="8" t="s">
        <v>38</v>
      </c>
      <c r="B98" s="58"/>
      <c r="C98" s="8">
        <v>25</v>
      </c>
      <c r="D98" s="9" t="s">
        <v>112</v>
      </c>
      <c r="E98" s="8"/>
    </row>
    <row r="99" spans="1:5" ht="40.5" x14ac:dyDescent="0.25">
      <c r="A99" s="8" t="s">
        <v>38</v>
      </c>
      <c r="B99" s="58"/>
      <c r="C99" s="8">
        <v>60</v>
      </c>
      <c r="D99" s="9" t="s">
        <v>128</v>
      </c>
      <c r="E99" s="8"/>
    </row>
    <row r="100" spans="1:5" x14ac:dyDescent="0.25">
      <c r="A100" s="8" t="s">
        <v>38</v>
      </c>
      <c r="B100" s="58"/>
      <c r="C100" s="8">
        <v>45</v>
      </c>
      <c r="D100" s="9" t="s">
        <v>129</v>
      </c>
      <c r="E100" s="8"/>
    </row>
    <row r="101" spans="1:5" x14ac:dyDescent="0.25">
      <c r="A101" s="8" t="s">
        <v>38</v>
      </c>
      <c r="B101" s="58"/>
      <c r="C101" s="8">
        <v>60</v>
      </c>
      <c r="D101" s="9" t="s">
        <v>130</v>
      </c>
      <c r="E101" s="8"/>
    </row>
    <row r="102" spans="1:5" ht="18" customHeight="1" thickBot="1" x14ac:dyDescent="0.3">
      <c r="A102" s="8" t="s">
        <v>38</v>
      </c>
      <c r="B102" s="59"/>
      <c r="C102" s="8">
        <v>25</v>
      </c>
      <c r="D102" s="9" t="s">
        <v>112</v>
      </c>
      <c r="E102" s="8"/>
    </row>
    <row r="103" spans="1:5" ht="18" customHeight="1" thickBot="1" x14ac:dyDescent="0.3">
      <c r="A103" s="12" t="s">
        <v>12</v>
      </c>
      <c r="B103" s="54" t="str">
        <f>INT(SUM(C94:C102)/60)&amp;"h"&amp;MOD(SUM(C94:C102),60)</f>
        <v>7h10</v>
      </c>
      <c r="C103" s="55"/>
      <c r="D103" s="55"/>
      <c r="E103" s="56"/>
    </row>
    <row r="104" spans="1:5" x14ac:dyDescent="0.25">
      <c r="A104" s="13" t="s">
        <v>131</v>
      </c>
      <c r="B104" s="57">
        <v>46160</v>
      </c>
      <c r="C104" s="13"/>
      <c r="D104" s="14" t="s">
        <v>132</v>
      </c>
      <c r="E104" s="13" t="s">
        <v>186</v>
      </c>
    </row>
    <row r="105" spans="1:5" ht="27" x14ac:dyDescent="0.25">
      <c r="A105" s="8" t="s">
        <v>38</v>
      </c>
      <c r="B105" s="58"/>
      <c r="C105" s="8">
        <v>22</v>
      </c>
      <c r="D105" s="9" t="s">
        <v>133</v>
      </c>
      <c r="E105" s="8"/>
    </row>
    <row r="106" spans="1:5" x14ac:dyDescent="0.25">
      <c r="A106" s="8" t="s">
        <v>38</v>
      </c>
      <c r="B106" s="58"/>
      <c r="C106" s="8">
        <v>20</v>
      </c>
      <c r="D106" s="9" t="s">
        <v>134</v>
      </c>
      <c r="E106" s="8"/>
    </row>
    <row r="107" spans="1:5" ht="27" x14ac:dyDescent="0.25">
      <c r="A107" s="8" t="s">
        <v>43</v>
      </c>
      <c r="B107" s="58"/>
      <c r="C107" s="8">
        <v>25</v>
      </c>
      <c r="D107" s="9" t="s">
        <v>135</v>
      </c>
      <c r="E107" s="8"/>
    </row>
    <row r="108" spans="1:5" x14ac:dyDescent="0.25">
      <c r="A108" s="8" t="s">
        <v>38</v>
      </c>
      <c r="B108" s="58"/>
      <c r="C108" s="8">
        <v>40</v>
      </c>
      <c r="D108" s="9" t="s">
        <v>136</v>
      </c>
      <c r="E108" s="8"/>
    </row>
    <row r="109" spans="1:5" ht="27" x14ac:dyDescent="0.25">
      <c r="A109" s="8" t="s">
        <v>38</v>
      </c>
      <c r="B109" s="58"/>
      <c r="C109" s="8">
        <v>55</v>
      </c>
      <c r="D109" s="9" t="s">
        <v>137</v>
      </c>
      <c r="E109" s="8"/>
    </row>
    <row r="110" spans="1:5" ht="27" x14ac:dyDescent="0.25">
      <c r="A110" s="8" t="s">
        <v>138</v>
      </c>
      <c r="B110" s="58"/>
      <c r="C110" s="8">
        <v>60</v>
      </c>
      <c r="D110" s="9" t="s">
        <v>139</v>
      </c>
      <c r="E110" s="8"/>
    </row>
    <row r="111" spans="1:5" ht="27" x14ac:dyDescent="0.25">
      <c r="A111" s="8" t="s">
        <v>38</v>
      </c>
      <c r="B111" s="58"/>
      <c r="C111" s="8">
        <v>60</v>
      </c>
      <c r="D111" s="9" t="s">
        <v>140</v>
      </c>
      <c r="E111" s="8"/>
    </row>
    <row r="112" spans="1:5" ht="18" customHeight="1" thickBot="1" x14ac:dyDescent="0.3">
      <c r="A112" s="8" t="s">
        <v>38</v>
      </c>
      <c r="B112" s="59"/>
      <c r="C112" s="8">
        <v>25</v>
      </c>
      <c r="D112" s="9" t="s">
        <v>141</v>
      </c>
      <c r="E112" s="8"/>
    </row>
    <row r="113" spans="1:5" ht="18" customHeight="1" thickBot="1" x14ac:dyDescent="0.3">
      <c r="A113" s="12" t="s">
        <v>12</v>
      </c>
      <c r="B113" s="54" t="str">
        <f>INT(SUM(C104:C112)/60)&amp;"h"&amp;MOD(SUM(C104:C112),60)</f>
        <v>5h7</v>
      </c>
      <c r="C113" s="55"/>
      <c r="D113" s="55"/>
      <c r="E113" s="56"/>
    </row>
    <row r="114" spans="1:5" ht="27" x14ac:dyDescent="0.25">
      <c r="A114" s="13" t="s">
        <v>38</v>
      </c>
      <c r="B114" s="57">
        <v>46162</v>
      </c>
      <c r="C114" s="13">
        <v>60</v>
      </c>
      <c r="D114" s="14" t="s">
        <v>142</v>
      </c>
      <c r="E114" s="13"/>
    </row>
    <row r="115" spans="1:5" x14ac:dyDescent="0.25">
      <c r="A115" s="8" t="s">
        <v>38</v>
      </c>
      <c r="B115" s="58"/>
      <c r="C115" s="8">
        <v>35</v>
      </c>
      <c r="D115" s="9" t="s">
        <v>143</v>
      </c>
      <c r="E115" s="8"/>
    </row>
    <row r="116" spans="1:5" ht="27" x14ac:dyDescent="0.25">
      <c r="A116" s="8" t="s">
        <v>144</v>
      </c>
      <c r="B116" s="58"/>
      <c r="C116" s="8">
        <v>20</v>
      </c>
      <c r="D116" s="9" t="s">
        <v>145</v>
      </c>
      <c r="E116" s="8"/>
    </row>
    <row r="117" spans="1:5" x14ac:dyDescent="0.25">
      <c r="A117" s="8" t="s">
        <v>146</v>
      </c>
      <c r="B117" s="58"/>
      <c r="C117" s="8">
        <v>30</v>
      </c>
      <c r="D117" s="9" t="s">
        <v>147</v>
      </c>
      <c r="E117" s="8"/>
    </row>
    <row r="118" spans="1:5" x14ac:dyDescent="0.25">
      <c r="A118" s="8" t="s">
        <v>150</v>
      </c>
      <c r="B118" s="58"/>
      <c r="C118" s="8">
        <v>60</v>
      </c>
      <c r="D118" s="9" t="s">
        <v>148</v>
      </c>
      <c r="E118" s="8"/>
    </row>
    <row r="119" spans="1:5" x14ac:dyDescent="0.25">
      <c r="A119" s="8" t="s">
        <v>150</v>
      </c>
      <c r="B119" s="58"/>
      <c r="C119" s="8">
        <v>45</v>
      </c>
      <c r="D119" s="9" t="s">
        <v>149</v>
      </c>
      <c r="E119" s="8"/>
    </row>
    <row r="120" spans="1:5" ht="27" x14ac:dyDescent="0.25">
      <c r="A120" s="8" t="s">
        <v>151</v>
      </c>
      <c r="B120" s="58"/>
      <c r="C120" s="8">
        <v>60</v>
      </c>
      <c r="D120" s="9" t="s">
        <v>152</v>
      </c>
      <c r="E120" s="8"/>
    </row>
    <row r="121" spans="1:5" x14ac:dyDescent="0.25">
      <c r="A121" s="8" t="s">
        <v>153</v>
      </c>
      <c r="B121" s="58"/>
      <c r="C121" s="8">
        <v>35</v>
      </c>
      <c r="D121" s="9" t="s">
        <v>154</v>
      </c>
      <c r="E121" s="8"/>
    </row>
    <row r="122" spans="1:5" x14ac:dyDescent="0.25">
      <c r="A122" s="8" t="s">
        <v>153</v>
      </c>
      <c r="B122" s="58"/>
      <c r="C122" s="8">
        <v>60</v>
      </c>
      <c r="D122" s="9" t="s">
        <v>155</v>
      </c>
      <c r="E122" s="8"/>
    </row>
    <row r="123" spans="1:5" ht="18" customHeight="1" thickBot="1" x14ac:dyDescent="0.3">
      <c r="A123" s="8" t="s">
        <v>153</v>
      </c>
      <c r="B123" s="59"/>
      <c r="C123" s="8">
        <v>25</v>
      </c>
      <c r="D123" s="9" t="s">
        <v>156</v>
      </c>
      <c r="E123" s="8"/>
    </row>
    <row r="124" spans="1:5" ht="18" customHeight="1" thickBot="1" x14ac:dyDescent="0.3">
      <c r="A124" s="12" t="s">
        <v>12</v>
      </c>
      <c r="B124" s="54" t="str">
        <f>INT(SUM(C114:C123)/60)&amp;"h"&amp;MOD(SUM(C114:C123),60)</f>
        <v>7h10</v>
      </c>
      <c r="C124" s="55"/>
      <c r="D124" s="55"/>
      <c r="E124" s="56"/>
    </row>
    <row r="125" spans="1:5" ht="27" x14ac:dyDescent="0.25">
      <c r="A125" s="13" t="s">
        <v>157</v>
      </c>
      <c r="B125" s="57">
        <v>46163</v>
      </c>
      <c r="C125" s="13">
        <v>30</v>
      </c>
      <c r="D125" s="14" t="s">
        <v>158</v>
      </c>
      <c r="E125" s="13"/>
    </row>
    <row r="126" spans="1:5" x14ac:dyDescent="0.25">
      <c r="A126" s="8" t="s">
        <v>159</v>
      </c>
      <c r="B126" s="58"/>
      <c r="C126" s="8">
        <v>30</v>
      </c>
      <c r="D126" s="9" t="s">
        <v>160</v>
      </c>
      <c r="E126" s="8"/>
    </row>
    <row r="127" spans="1:5" x14ac:dyDescent="0.25">
      <c r="A127" s="8" t="s">
        <v>161</v>
      </c>
      <c r="B127" s="58"/>
      <c r="C127" s="8">
        <v>35</v>
      </c>
      <c r="D127" s="9" t="s">
        <v>162</v>
      </c>
      <c r="E127" s="8"/>
    </row>
    <row r="128" spans="1:5" x14ac:dyDescent="0.25">
      <c r="A128" s="8" t="s">
        <v>161</v>
      </c>
      <c r="B128" s="58"/>
      <c r="C128" s="8">
        <v>60</v>
      </c>
      <c r="D128" s="9" t="s">
        <v>163</v>
      </c>
      <c r="E128" s="8"/>
    </row>
    <row r="129" spans="1:5" x14ac:dyDescent="0.25">
      <c r="A129" s="8" t="s">
        <v>161</v>
      </c>
      <c r="B129" s="58"/>
      <c r="C129" s="8">
        <v>35</v>
      </c>
      <c r="D129" s="9" t="s">
        <v>164</v>
      </c>
      <c r="E129" s="8"/>
    </row>
    <row r="130" spans="1:5" x14ac:dyDescent="0.25">
      <c r="A130" s="8"/>
      <c r="B130" s="58"/>
      <c r="C130" s="8"/>
      <c r="D130" s="9"/>
      <c r="E130" s="8"/>
    </row>
    <row r="131" spans="1:5" x14ac:dyDescent="0.25">
      <c r="A131" s="8"/>
      <c r="B131" s="58"/>
      <c r="C131" s="8"/>
      <c r="D131" s="9"/>
      <c r="E131" s="8"/>
    </row>
    <row r="132" spans="1:5" x14ac:dyDescent="0.25">
      <c r="A132" s="8"/>
      <c r="B132" s="58"/>
      <c r="C132" s="8"/>
      <c r="D132" s="9"/>
      <c r="E132" s="8"/>
    </row>
    <row r="133" spans="1:5" x14ac:dyDescent="0.25">
      <c r="A133" s="8"/>
      <c r="B133" s="58"/>
      <c r="C133" s="8"/>
      <c r="D133" s="9"/>
      <c r="E133" s="8"/>
    </row>
    <row r="134" spans="1:5" ht="18" customHeight="1" thickBot="1" x14ac:dyDescent="0.3">
      <c r="A134" s="8"/>
      <c r="B134" s="59"/>
      <c r="C134" s="8"/>
      <c r="D134" s="9"/>
      <c r="E134" s="8"/>
    </row>
    <row r="135" spans="1:5" ht="18" customHeight="1" thickBot="1" x14ac:dyDescent="0.3">
      <c r="A135" s="12" t="s">
        <v>12</v>
      </c>
      <c r="B135" s="54" t="str">
        <f>INT(SUM(C125:C134)/60)&amp;"h"&amp;MOD(SUM(C125:C134),60)</f>
        <v>3h10</v>
      </c>
      <c r="C135" s="55"/>
      <c r="D135" s="55"/>
      <c r="E135" s="56"/>
    </row>
    <row r="136" spans="1:5" x14ac:dyDescent="0.25">
      <c r="A136" s="13" t="s">
        <v>165</v>
      </c>
      <c r="B136" s="57">
        <v>46164</v>
      </c>
      <c r="C136" s="13">
        <v>60</v>
      </c>
      <c r="D136" s="14" t="s">
        <v>166</v>
      </c>
      <c r="E136" s="13"/>
    </row>
    <row r="137" spans="1:5" x14ac:dyDescent="0.25">
      <c r="A137" s="8" t="s">
        <v>165</v>
      </c>
      <c r="B137" s="58"/>
      <c r="C137" s="8">
        <v>35</v>
      </c>
      <c r="D137" s="9" t="s">
        <v>167</v>
      </c>
      <c r="E137" s="8"/>
    </row>
    <row r="138" spans="1:5" ht="27" x14ac:dyDescent="0.25">
      <c r="A138" s="8" t="s">
        <v>168</v>
      </c>
      <c r="B138" s="58"/>
      <c r="C138" s="8">
        <v>60</v>
      </c>
      <c r="D138" s="9" t="s">
        <v>169</v>
      </c>
      <c r="E138" s="8"/>
    </row>
    <row r="139" spans="1:5" ht="81" x14ac:dyDescent="0.25">
      <c r="A139" s="8" t="s">
        <v>168</v>
      </c>
      <c r="B139" s="58"/>
      <c r="C139" s="8">
        <v>60</v>
      </c>
      <c r="D139" s="9" t="s">
        <v>170</v>
      </c>
      <c r="E139" s="8"/>
    </row>
    <row r="140" spans="1:5" x14ac:dyDescent="0.25">
      <c r="A140" s="8" t="s">
        <v>165</v>
      </c>
      <c r="B140" s="58"/>
      <c r="C140" s="8">
        <v>25</v>
      </c>
      <c r="D140" s="9" t="s">
        <v>112</v>
      </c>
      <c r="E140" s="8"/>
    </row>
    <row r="141" spans="1:5" ht="27" x14ac:dyDescent="0.25">
      <c r="A141" s="8" t="s">
        <v>165</v>
      </c>
      <c r="B141" s="58"/>
      <c r="C141" s="8">
        <v>60</v>
      </c>
      <c r="D141" s="9" t="s">
        <v>171</v>
      </c>
      <c r="E141" s="8"/>
    </row>
    <row r="142" spans="1:5" x14ac:dyDescent="0.25">
      <c r="A142" s="8" t="s">
        <v>138</v>
      </c>
      <c r="B142" s="58"/>
      <c r="C142" s="8">
        <v>40</v>
      </c>
      <c r="D142" s="9" t="s">
        <v>174</v>
      </c>
      <c r="E142" s="8"/>
    </row>
    <row r="143" spans="1:5" ht="27" x14ac:dyDescent="0.25">
      <c r="A143" s="8" t="s">
        <v>175</v>
      </c>
      <c r="B143" s="58"/>
      <c r="C143" s="8">
        <v>60</v>
      </c>
      <c r="D143" s="9" t="s">
        <v>176</v>
      </c>
      <c r="E143" s="8"/>
    </row>
    <row r="144" spans="1:5" ht="27" x14ac:dyDescent="0.25">
      <c r="A144" s="8" t="s">
        <v>177</v>
      </c>
      <c r="B144" s="58"/>
      <c r="C144" s="8">
        <v>30</v>
      </c>
      <c r="D144" s="9" t="s">
        <v>178</v>
      </c>
      <c r="E144" s="8"/>
    </row>
    <row r="145" spans="1:5" ht="18" customHeight="1" thickBot="1" x14ac:dyDescent="0.3">
      <c r="A145" s="8"/>
      <c r="B145" s="59"/>
      <c r="C145" s="8"/>
      <c r="D145" s="9"/>
      <c r="E145" s="8"/>
    </row>
    <row r="146" spans="1:5" ht="18" customHeight="1" thickBot="1" x14ac:dyDescent="0.3">
      <c r="A146" s="12" t="s">
        <v>12</v>
      </c>
      <c r="B146" s="54" t="str">
        <f>INT(SUM(C136:C145)/60)&amp;"h"&amp;MOD(SUM(C136:C145),60)</f>
        <v>7h10</v>
      </c>
      <c r="C146" s="55"/>
      <c r="D146" s="55"/>
      <c r="E146" s="56"/>
    </row>
    <row r="147" spans="1:5" ht="27" x14ac:dyDescent="0.25">
      <c r="A147" s="13" t="s">
        <v>138</v>
      </c>
      <c r="B147" s="57">
        <v>46169</v>
      </c>
      <c r="C147" s="13">
        <v>20</v>
      </c>
      <c r="D147" s="14" t="s">
        <v>179</v>
      </c>
      <c r="E147" s="13"/>
    </row>
    <row r="148" spans="1:5" ht="27" x14ac:dyDescent="0.25">
      <c r="A148" s="8" t="s">
        <v>180</v>
      </c>
      <c r="B148" s="58"/>
      <c r="C148" s="8">
        <v>20</v>
      </c>
      <c r="D148" s="9" t="s">
        <v>181</v>
      </c>
      <c r="E148" s="8"/>
    </row>
    <row r="149" spans="1:5" ht="27" x14ac:dyDescent="0.25">
      <c r="A149" s="8" t="s">
        <v>92</v>
      </c>
      <c r="B149" s="58"/>
      <c r="C149" s="8">
        <v>20</v>
      </c>
      <c r="D149" s="9" t="s">
        <v>182</v>
      </c>
      <c r="E149" s="8"/>
    </row>
    <row r="150" spans="1:5" x14ac:dyDescent="0.25">
      <c r="A150" s="8" t="s">
        <v>183</v>
      </c>
      <c r="B150" s="58"/>
      <c r="C150" s="8">
        <v>35</v>
      </c>
      <c r="D150" s="9" t="s">
        <v>184</v>
      </c>
      <c r="E150" s="8"/>
    </row>
    <row r="151" spans="1:5" ht="27" x14ac:dyDescent="0.25">
      <c r="A151" s="8" t="s">
        <v>38</v>
      </c>
      <c r="B151" s="58"/>
      <c r="C151" s="8">
        <v>60</v>
      </c>
      <c r="D151" s="9" t="s">
        <v>185</v>
      </c>
      <c r="E151" s="8"/>
    </row>
    <row r="152" spans="1:5" ht="27" x14ac:dyDescent="0.25">
      <c r="A152" s="8" t="s">
        <v>38</v>
      </c>
      <c r="B152" s="58"/>
      <c r="C152" s="8">
        <v>60</v>
      </c>
      <c r="D152" s="9" t="s">
        <v>187</v>
      </c>
      <c r="E152" s="8"/>
    </row>
    <row r="153" spans="1:5" x14ac:dyDescent="0.25">
      <c r="A153" s="8" t="s">
        <v>38</v>
      </c>
      <c r="B153" s="58"/>
      <c r="C153" s="8">
        <v>60</v>
      </c>
      <c r="D153" s="1" t="s">
        <v>208</v>
      </c>
      <c r="E153" s="8"/>
    </row>
    <row r="154" spans="1:5" ht="27" x14ac:dyDescent="0.25">
      <c r="A154" s="8" t="s">
        <v>38</v>
      </c>
      <c r="B154" s="58"/>
      <c r="C154" s="8">
        <v>60</v>
      </c>
      <c r="D154" s="9" t="s">
        <v>209</v>
      </c>
      <c r="E154" s="8"/>
    </row>
    <row r="155" spans="1:5" x14ac:dyDescent="0.25">
      <c r="A155" s="8" t="s">
        <v>38</v>
      </c>
      <c r="B155" s="58"/>
      <c r="C155" s="8">
        <v>60</v>
      </c>
      <c r="D155" s="9" t="s">
        <v>210</v>
      </c>
      <c r="E155" s="8"/>
    </row>
    <row r="156" spans="1:5" x14ac:dyDescent="0.25">
      <c r="A156" s="8" t="s">
        <v>38</v>
      </c>
      <c r="B156" s="58"/>
      <c r="C156" s="8">
        <v>35</v>
      </c>
      <c r="D156" s="9" t="s">
        <v>118</v>
      </c>
      <c r="E156" s="8"/>
    </row>
    <row r="157" spans="1:5" ht="29.25" customHeight="1" thickBot="1" x14ac:dyDescent="0.3">
      <c r="A157" s="8" t="s">
        <v>38</v>
      </c>
      <c r="B157" s="59"/>
      <c r="C157" s="8">
        <v>28</v>
      </c>
      <c r="D157" s="9" t="s">
        <v>211</v>
      </c>
      <c r="E157" s="8"/>
    </row>
    <row r="158" spans="1:5" ht="18" customHeight="1" thickBot="1" x14ac:dyDescent="0.3">
      <c r="A158" s="12" t="s">
        <v>12</v>
      </c>
      <c r="B158" s="54" t="str">
        <f>INT(SUM(C147:C157)/60)&amp;"h"&amp;MOD(SUM(C147:C157),60)</f>
        <v>7h38</v>
      </c>
      <c r="C158" s="55"/>
      <c r="D158" s="55"/>
      <c r="E158" s="56"/>
    </row>
    <row r="159" spans="1:5" ht="27" x14ac:dyDescent="0.25">
      <c r="A159" s="13" t="s">
        <v>38</v>
      </c>
      <c r="B159" s="57">
        <v>46170</v>
      </c>
      <c r="C159" s="13">
        <v>50</v>
      </c>
      <c r="D159" s="14" t="s">
        <v>212</v>
      </c>
      <c r="E159" s="13"/>
    </row>
    <row r="160" spans="1:5" x14ac:dyDescent="0.25">
      <c r="A160" s="8"/>
      <c r="B160" s="58"/>
      <c r="C160" s="8"/>
      <c r="D160" s="9"/>
      <c r="E160" s="8"/>
    </row>
    <row r="161" spans="1:5" x14ac:dyDescent="0.25">
      <c r="A161" s="8"/>
      <c r="B161" s="58"/>
      <c r="C161" s="8"/>
      <c r="D161" s="9"/>
      <c r="E161" s="8"/>
    </row>
    <row r="162" spans="1:5" x14ac:dyDescent="0.25">
      <c r="A162" s="8"/>
      <c r="B162" s="58"/>
      <c r="C162" s="8"/>
      <c r="D162" s="9"/>
      <c r="E162" s="8"/>
    </row>
    <row r="163" spans="1:5" x14ac:dyDescent="0.25">
      <c r="A163" s="8"/>
      <c r="B163" s="58"/>
      <c r="C163" s="8"/>
      <c r="D163" s="9"/>
      <c r="E163" s="8"/>
    </row>
    <row r="164" spans="1:5" x14ac:dyDescent="0.25">
      <c r="A164" s="8"/>
      <c r="B164" s="58"/>
      <c r="C164" s="8"/>
      <c r="D164" s="9"/>
      <c r="E164" s="8"/>
    </row>
    <row r="165" spans="1:5" x14ac:dyDescent="0.25">
      <c r="A165" s="8"/>
      <c r="B165" s="58"/>
      <c r="C165" s="8"/>
      <c r="D165" s="9"/>
      <c r="E165" s="8"/>
    </row>
    <row r="166" spans="1:5" x14ac:dyDescent="0.25">
      <c r="A166" s="8"/>
      <c r="B166" s="58"/>
      <c r="C166" s="8"/>
      <c r="D166" s="9"/>
      <c r="E166" s="8"/>
    </row>
    <row r="167" spans="1:5" x14ac:dyDescent="0.25">
      <c r="A167" s="8"/>
      <c r="B167" s="58"/>
      <c r="C167" s="8"/>
      <c r="D167" s="9"/>
      <c r="E167" s="8"/>
    </row>
    <row r="168" spans="1:5" ht="18" customHeight="1" thickBot="1" x14ac:dyDescent="0.3">
      <c r="A168" s="8"/>
      <c r="B168" s="59"/>
      <c r="C168" s="8"/>
      <c r="D168" s="9"/>
      <c r="E168" s="8"/>
    </row>
    <row r="169" spans="1:5" ht="18" customHeight="1" thickBot="1" x14ac:dyDescent="0.3">
      <c r="A169" s="12" t="s">
        <v>12</v>
      </c>
      <c r="B169" s="54" t="str">
        <f>INT(SUM(C159:C168)/60)&amp;"h"&amp;MOD(SUM(C159:C168),60)</f>
        <v>0h50</v>
      </c>
      <c r="C169" s="55"/>
      <c r="D169" s="55"/>
      <c r="E169" s="56"/>
    </row>
    <row r="170" spans="1:5" ht="21" customHeight="1" thickBot="1" x14ac:dyDescent="0.3">
      <c r="A170" s="60" t="s">
        <v>13</v>
      </c>
      <c r="B170" s="61"/>
      <c r="C170" s="15">
        <f>MROUND(SUM(C6:C169) /60,0.2)</f>
        <v>90</v>
      </c>
      <c r="D170" s="16"/>
      <c r="E170" s="17"/>
    </row>
    <row r="172" spans="1:5" x14ac:dyDescent="0.25">
      <c r="A172" s="18" t="s">
        <v>14</v>
      </c>
    </row>
    <row r="173" spans="1:5" x14ac:dyDescent="0.25">
      <c r="A173" s="18"/>
    </row>
    <row r="175" spans="1:5" x14ac:dyDescent="0.25">
      <c r="E175" s="24"/>
    </row>
    <row r="176" spans="1:5" x14ac:dyDescent="0.25">
      <c r="E176" s="24"/>
    </row>
    <row r="177" spans="3:5" x14ac:dyDescent="0.25">
      <c r="E177" s="24"/>
    </row>
    <row r="178" spans="3:5" x14ac:dyDescent="0.25">
      <c r="E178" s="24"/>
    </row>
    <row r="179" spans="3:5" x14ac:dyDescent="0.25">
      <c r="D179" s="35"/>
    </row>
    <row r="180" spans="3:5" x14ac:dyDescent="0.25">
      <c r="C180" s="24"/>
      <c r="D180" s="24"/>
      <c r="E180" s="34"/>
    </row>
    <row r="181" spans="3:5" x14ac:dyDescent="0.25">
      <c r="C181" s="34"/>
      <c r="D181" s="24"/>
    </row>
    <row r="183" spans="3:5" x14ac:dyDescent="0.25">
      <c r="C183" s="24"/>
      <c r="D183" s="24"/>
    </row>
    <row r="185" spans="3:5" x14ac:dyDescent="0.25">
      <c r="C185" s="24"/>
      <c r="D185" s="24"/>
    </row>
    <row r="186" spans="3:5" x14ac:dyDescent="0.25">
      <c r="E186" s="24"/>
    </row>
    <row r="187" spans="3:5" x14ac:dyDescent="0.25">
      <c r="C187" s="24"/>
      <c r="D187" s="24"/>
      <c r="E187" s="24"/>
    </row>
    <row r="189" spans="3:5" x14ac:dyDescent="0.25">
      <c r="C189" s="24"/>
      <c r="D189" s="24"/>
    </row>
    <row r="191" spans="3:5" x14ac:dyDescent="0.25">
      <c r="C191" s="24"/>
      <c r="D191" s="24"/>
    </row>
    <row r="193" spans="1:5" x14ac:dyDescent="0.25">
      <c r="A193" s="33"/>
      <c r="C193" s="24"/>
      <c r="D193" s="24"/>
    </row>
    <row r="195" spans="1:5" x14ac:dyDescent="0.25">
      <c r="A195" s="33"/>
      <c r="C195" s="24"/>
      <c r="D195" s="24"/>
      <c r="E195" s="37"/>
    </row>
    <row r="197" spans="1:5" x14ac:dyDescent="0.25">
      <c r="C197" s="24"/>
      <c r="D197" s="24"/>
    </row>
    <row r="199" spans="1:5" x14ac:dyDescent="0.25">
      <c r="C199" s="24"/>
      <c r="D199" s="24"/>
    </row>
    <row r="201" spans="1:5" x14ac:dyDescent="0.25">
      <c r="C201" s="34"/>
      <c r="D201" s="36"/>
    </row>
    <row r="203" spans="1:5" x14ac:dyDescent="0.25">
      <c r="C203" s="34"/>
    </row>
  </sheetData>
  <mergeCells count="37">
    <mergeCell ref="B136:B145"/>
    <mergeCell ref="B146:E146"/>
    <mergeCell ref="B55:B66"/>
    <mergeCell ref="B169:E169"/>
    <mergeCell ref="B147:B157"/>
    <mergeCell ref="B158:E158"/>
    <mergeCell ref="A170:B170"/>
    <mergeCell ref="B68:B72"/>
    <mergeCell ref="B73:E73"/>
    <mergeCell ref="B74:B83"/>
    <mergeCell ref="B84:E84"/>
    <mergeCell ref="B85:B92"/>
    <mergeCell ref="B93:E93"/>
    <mergeCell ref="B159:B168"/>
    <mergeCell ref="B94:B102"/>
    <mergeCell ref="B103:E103"/>
    <mergeCell ref="B104:B112"/>
    <mergeCell ref="B113:E113"/>
    <mergeCell ref="B114:B123"/>
    <mergeCell ref="B124:E124"/>
    <mergeCell ref="B135:E135"/>
    <mergeCell ref="B125:B134"/>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85:C92 C74:C83 C55:C66 C68:C72 C29:C33 B6 C6:C17 C35:C44 C46:C53 C159:C168 C19:C27 C94:C102 C104:C112 C114:C123 C125:C134 C136:C145 C147:C15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59:B168 B94:B102 B104:B112 B114:B123 B125:B134 B136:B145 B147:B157"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67" fitToHeight="5" orientation="landscape" r:id="rId2"/>
  <headerFooter>
    <oddHeader>&amp;L&amp;"Etml_font,Normal"&amp;22ETML&amp;C&amp;12Journal de travail&amp;R&amp;G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D33" sqref="D33"/>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0.51388888888888884</v>
      </c>
      <c r="E2" s="26">
        <v>0.61458333333333337</v>
      </c>
      <c r="F2" s="26">
        <v>1.0416666666666666E-2</v>
      </c>
      <c r="G2" s="26">
        <f>C2-B2+E2-D2-F2</f>
        <v>0.23263888888888892</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3:5" x14ac:dyDescent="0.25">
      <c r="E19" s="26"/>
    </row>
    <row r="20" spans="3:5" x14ac:dyDescent="0.25">
      <c r="E20" s="26"/>
    </row>
    <row r="22" spans="3:5" x14ac:dyDescent="0.25">
      <c r="C22" s="26"/>
    </row>
    <row r="33" spans="4:4" x14ac:dyDescent="0.25">
      <c r="D33" s="26"/>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E60E3-49CA-4B98-ADCD-CBD69017AD68}">
  <dimension ref="A5:C46"/>
  <sheetViews>
    <sheetView workbookViewId="0">
      <selection activeCell="C14" sqref="C14"/>
    </sheetView>
  </sheetViews>
  <sheetFormatPr baseColWidth="10" defaultRowHeight="13.5" x14ac:dyDescent="0.25"/>
  <cols>
    <col min="1" max="1" width="36.42578125" customWidth="1"/>
    <col min="2" max="2" width="34.140625" customWidth="1"/>
    <col min="3" max="3" width="34" customWidth="1"/>
  </cols>
  <sheetData>
    <row r="5" spans="1:3" ht="19.5" customHeight="1" x14ac:dyDescent="0.25">
      <c r="A5" s="43"/>
      <c r="B5" s="44" t="s">
        <v>188</v>
      </c>
      <c r="C5" s="44" t="s">
        <v>189</v>
      </c>
    </row>
    <row r="6" spans="1:3" x14ac:dyDescent="0.25">
      <c r="A6" s="38" t="s">
        <v>190</v>
      </c>
      <c r="B6" s="39">
        <v>0.125</v>
      </c>
      <c r="C6" s="39">
        <v>0.41666666666666669</v>
      </c>
    </row>
    <row r="7" spans="1:3" x14ac:dyDescent="0.25">
      <c r="A7" s="38" t="s">
        <v>191</v>
      </c>
      <c r="B7" s="40">
        <v>1.6611111111111112</v>
      </c>
      <c r="C7" s="39">
        <v>0.41666666666666669</v>
      </c>
    </row>
    <row r="8" spans="1:3" x14ac:dyDescent="0.25">
      <c r="A8" s="38" t="s">
        <v>192</v>
      </c>
      <c r="B8" s="39">
        <v>6.5972222222222224E-2</v>
      </c>
      <c r="C8" s="39">
        <v>0.625</v>
      </c>
    </row>
    <row r="9" spans="1:3" x14ac:dyDescent="0.25">
      <c r="A9" s="38" t="s">
        <v>193</v>
      </c>
      <c r="B9" s="39">
        <v>8.3333333333333329E-2</v>
      </c>
      <c r="C9" s="39">
        <v>0.125</v>
      </c>
    </row>
    <row r="10" spans="1:3" x14ac:dyDescent="0.25">
      <c r="A10" s="38" t="s">
        <v>45</v>
      </c>
      <c r="B10" s="39">
        <v>0.11805555555555555</v>
      </c>
      <c r="C10" s="39">
        <v>0.33333333333333331</v>
      </c>
    </row>
    <row r="11" spans="1:3" x14ac:dyDescent="0.25">
      <c r="A11" s="38" t="s">
        <v>194</v>
      </c>
      <c r="B11" s="39">
        <v>0.15625</v>
      </c>
      <c r="C11" s="39">
        <v>0.25</v>
      </c>
    </row>
    <row r="12" spans="1:3" x14ac:dyDescent="0.25">
      <c r="A12" s="38" t="s">
        <v>195</v>
      </c>
      <c r="B12" s="39">
        <v>0.18402777777777779</v>
      </c>
      <c r="C12" s="39">
        <v>0.16666666666666666</v>
      </c>
    </row>
    <row r="13" spans="1:3" ht="27" x14ac:dyDescent="0.25">
      <c r="A13" s="41" t="s">
        <v>196</v>
      </c>
      <c r="B13" s="39">
        <v>0.19791666666666666</v>
      </c>
      <c r="C13" s="39">
        <v>0.33333333333333331</v>
      </c>
    </row>
    <row r="14" spans="1:3" ht="40.5" x14ac:dyDescent="0.25">
      <c r="A14" s="41" t="s">
        <v>197</v>
      </c>
      <c r="B14" s="39">
        <v>0.25347222222222221</v>
      </c>
      <c r="C14" s="39">
        <v>0.33333333333333331</v>
      </c>
    </row>
    <row r="15" spans="1:3" x14ac:dyDescent="0.25">
      <c r="A15" s="38" t="s">
        <v>198</v>
      </c>
      <c r="B15" s="39">
        <v>0.12152777777777778</v>
      </c>
      <c r="C15" s="39">
        <v>0.25</v>
      </c>
    </row>
    <row r="16" spans="1:3" x14ac:dyDescent="0.25">
      <c r="A16" s="38" t="s">
        <v>199</v>
      </c>
      <c r="B16" s="39">
        <v>0.14930555555555555</v>
      </c>
      <c r="C16" s="39">
        <v>0.20833333333333334</v>
      </c>
    </row>
    <row r="17" spans="1:3" x14ac:dyDescent="0.25">
      <c r="A17" s="38" t="s">
        <v>200</v>
      </c>
      <c r="B17" s="42">
        <f>C20-SUM(B6:B16)</f>
        <v>0.6340277777777783</v>
      </c>
      <c r="C17" s="39">
        <v>0</v>
      </c>
    </row>
    <row r="18" spans="1:3" x14ac:dyDescent="0.25">
      <c r="A18" s="38"/>
      <c r="B18" s="38"/>
      <c r="C18" s="40"/>
    </row>
    <row r="19" spans="1:3" x14ac:dyDescent="0.25">
      <c r="A19" s="38"/>
      <c r="B19" s="38"/>
      <c r="C19" s="38"/>
    </row>
    <row r="20" spans="1:3" x14ac:dyDescent="0.25">
      <c r="A20" s="38" t="s">
        <v>201</v>
      </c>
      <c r="B20" s="42">
        <f>SUM(B6:B17)</f>
        <v>3.75</v>
      </c>
      <c r="C20" s="40">
        <v>3.75</v>
      </c>
    </row>
    <row r="27" spans="1:3" x14ac:dyDescent="0.25">
      <c r="A27" s="45"/>
      <c r="B27" s="46" t="s">
        <v>207</v>
      </c>
    </row>
    <row r="28" spans="1:3" x14ac:dyDescent="0.25">
      <c r="A28" s="45" t="s">
        <v>202</v>
      </c>
      <c r="B28" s="47">
        <v>0.2</v>
      </c>
    </row>
    <row r="29" spans="1:3" x14ac:dyDescent="0.25">
      <c r="A29" s="45" t="s">
        <v>203</v>
      </c>
      <c r="B29" s="47">
        <v>0.45</v>
      </c>
    </row>
    <row r="30" spans="1:3" x14ac:dyDescent="0.25">
      <c r="A30" s="45" t="s">
        <v>204</v>
      </c>
      <c r="B30" s="47">
        <v>0.15</v>
      </c>
    </row>
    <row r="31" spans="1:3" x14ac:dyDescent="0.25">
      <c r="A31" s="45" t="s">
        <v>205</v>
      </c>
      <c r="B31" s="47">
        <v>0.2</v>
      </c>
    </row>
    <row r="41" spans="1:2" x14ac:dyDescent="0.25">
      <c r="A41" s="45"/>
      <c r="B41" s="46" t="s">
        <v>206</v>
      </c>
    </row>
    <row r="42" spans="1:2" x14ac:dyDescent="0.25">
      <c r="A42" s="45" t="s">
        <v>202</v>
      </c>
      <c r="B42" s="48">
        <f>SUM(B10,B9,B8)/C20</f>
        <v>7.1296296296296288E-2</v>
      </c>
    </row>
    <row r="43" spans="1:2" x14ac:dyDescent="0.25">
      <c r="A43" s="45" t="s">
        <v>203</v>
      </c>
      <c r="B43" s="48">
        <f>SUM(B11:B15,B17)/C20</f>
        <v>0.41259259259259273</v>
      </c>
    </row>
    <row r="44" spans="1:2" x14ac:dyDescent="0.25">
      <c r="A44" s="45" t="s">
        <v>204</v>
      </c>
      <c r="B44" s="48">
        <f>SUM(B16)/C20</f>
        <v>3.9814814814814817E-2</v>
      </c>
    </row>
    <row r="45" spans="1:2" x14ac:dyDescent="0.25">
      <c r="A45" s="45" t="s">
        <v>205</v>
      </c>
      <c r="B45" s="48">
        <f>SUM(B6,B7)/C20</f>
        <v>0.47629629629629633</v>
      </c>
    </row>
    <row r="46" spans="1:2" x14ac:dyDescent="0.25">
      <c r="B46" s="49"/>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6b19550a-bdc3-4796-8096-c6911560d534"/>
    <ds:schemaRef ds:uri="http://purl.org/dc/elements/1.1/"/>
    <ds:schemaRef ds:uri="http://schemas.microsoft.com/office/2006/metadata/properties"/>
    <ds:schemaRef ds:uri="http://purl.org/dc/dcmitype/"/>
    <ds:schemaRef ds:uri="http://purl.org/dc/te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vt:lpstr>
      <vt:lpstr>Heures de travail</vt:lpstr>
      <vt:lpstr>Comparaison</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cp:lastPrinted>2026-05-28T11:40:59Z</cp:lastPrinted>
  <dcterms:created xsi:type="dcterms:W3CDTF">1996-10-21T11:03:58Z</dcterms:created>
  <dcterms:modified xsi:type="dcterms:W3CDTF">2026-05-28T11:52:00Z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