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8947C979-F2C7-47AA-A54F-DCCEDDB4769B}" xr6:coauthVersionLast="47" xr6:coauthVersionMax="47" xr10:uidLastSave="{00000000-0000-0000-0000-000000000000}"/>
  <bookViews>
    <workbookView xWindow="32340" yWindow="3540" windowWidth="21600" windowHeight="11385" xr2:uid="{00000000-000D-0000-FFFF-FFFF00000000}"/>
  </bookViews>
  <sheets>
    <sheet name="Journal" sheetId="18" r:id="rId1"/>
    <sheet name="Feuil1" sheetId="19" r:id="rId2"/>
  </sheets>
  <definedNames>
    <definedName name="_xlnm.Print_Area" localSheetId="0">Journal!$A$1:$E$124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9" l="1"/>
  <c r="C155" i="18"/>
  <c r="C124" i="18"/>
  <c r="B113" i="18"/>
  <c r="B103" i="18"/>
  <c r="B123" i="18"/>
  <c r="B93" i="18"/>
  <c r="B84" i="18"/>
  <c r="B73" i="18"/>
  <c r="B67" i="18"/>
  <c r="B54" i="18"/>
  <c r="B45" i="18"/>
  <c r="G5" i="19"/>
  <c r="B34" i="18"/>
  <c r="B28" i="18"/>
  <c r="B18" i="18"/>
</calcChain>
</file>

<file path=xl/sharedStrings.xml><?xml version="1.0" encoding="utf-8"?>
<sst xmlns="http://schemas.openxmlformats.org/spreadsheetml/2006/main" count="257" uniqueCount="170">
  <si>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</si>
  <si>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</si>
  <si>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</si>
  <si>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</si>
  <si>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</si>
  <si>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</si>
  <si>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</si>
  <si>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</si>
  <si>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</si>
  <si>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</si>
  <si>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</si>
  <si>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</si>
  <si>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</si>
  <si>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</si>
  <si>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</si>
  <si>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</si>
  <si>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</si>
  <si>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</si>
  <si>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</si>
  <si>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</si>
  <si>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</si>
  <si>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</si>
  <si>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</si>
  <si>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</si>
  <si>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</si>
  <si>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</si>
  <si>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</si>
  <si>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</si>
  <si>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</si>
  <si>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</si>
  <si>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</si>
  <si>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</si>
  <si>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</si>
  <si>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</si>
  <si>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</si>
  <si>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</si>
  <si>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</si>
  <si>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</si>
  <si>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</si>
  <si>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</si>
  <si>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</si>
  <si>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</si>
  <si>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</si>
  <si>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</si>
  <si>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</si>
  <si>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</si>
  <si>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</si>
  <si>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</si>
  <si>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</si>
  <si>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</si>
  <si>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</si>
  <si>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</si>
  <si>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</si>
  <si>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</si>
  <si>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</si>
  <si>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</si>
  <si>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</si>
  <si>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</si>
  <si>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</si>
  <si>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</si>
  <si>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</si>
  <si>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</si>
  <si>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</si>
  <si>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</si>
  <si>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</si>
  <si>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</si>
  <si>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</si>
  <si>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</si>
  <si>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</si>
  <si>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</si>
  <si>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</si>
  <si>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</si>
  <si>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</si>
  <si>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</si>
  <si>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</si>
  <si>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</si>
  <si>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</si>
  <si>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</si>
  <si>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</si>
  <si>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</si>
  <si>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</si>
  <si>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</si>
  <si>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</si>
  <si>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</si>
  <si>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</si>
  <si>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</si>
  <si>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</si>
  <si>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</si>
  <si>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</si>
  <si>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</si>
  <si>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</si>
  <si>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</si>
  <si>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</si>
  <si>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</si>
  <si>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</si>
  <si>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</si>
  <si>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</si>
  <si>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</si>
  <si>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</si>
  <si>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</si>
  <si>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</si>
  <si>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J'ai demandé à l'IA si il y a avait des choses qui allais à l'encontre du RGPD/LPD et il y avait effectivement quelques petits point à modifié notament au niveau du tracking ou je ne peux pas relier un utilisateur à un "track" sans son consentement j'ai donc pris la decission d'enlever les relation avec la table readers</t>
  </si>
  <si>
    <t>https://www.privacy-regulation.eu/fr/6.htm</t>
  </si>
  <si>
    <t>Je suis entrain de travailler sur la partie planification d'une campagne</t>
  </si>
  <si>
    <t>J'ai terminé la planification d'une campagne et jai commencé l'envoie mais j'ai pas encore temriné j'ai quelques soucis</t>
  </si>
  <si>
    <t>J'ai fais quelques ajustement au niveau de l'app ou j'ai notament ajouté la possiblité de delete des campagne/lecteur (j'avais oublié de le faire)</t>
  </si>
  <si>
    <t>Disccussion + ajustement</t>
  </si>
  <si>
    <t>J'ai continué mes ajustement et j'ai notament discuté avec M. Melly histoire de faire un point de situation il m'a notament fais la remsrque de mettre de colone en plus dans la table de campagne et de laissé 30s de delais pour supprimer une campagne qui vient d'être envoyé</t>
  </si>
  <si>
    <t>discussion</t>
  </si>
  <si>
    <t>J'ai fait les ajustement voulu (colone en plus pour le nombre d'envoi et de click) par M. Melly et j'ai aussi reglé quelques petit bugs et j'ai discuté concernant les 30s avant l'envoie et on en a conclu que je devais abondonner cette partie car le script ne me premet pas de une : connaitre précisement la prochaine execution du script de deux, si au moment il veut supprimer ne pas excuter le script pour la campagne et la supprimer</t>
  </si>
  <si>
    <t>J'ai un peu avancer sur mon rapport</t>
  </si>
  <si>
    <t>J'ai modifié (suite à la demande de M. Melly) le fait d'envoyé une campagne maintenant, elle est mise en "planifiée" pour 5min plus tard pour laissé le temps à l'utilisateur de l'annuler</t>
  </si>
  <si>
    <t>J'ai avancé dans mon rapport ou j'ai notament modifé la partie pour la DB car j'avais fait quelques changement</t>
  </si>
  <si>
    <t>J'ai continué mon rapport</t>
  </si>
  <si>
    <t>TEST</t>
  </si>
  <si>
    <t xml:space="preserve">J'ai fais une liste des test unitaire à faire et pour gagner du temps j'ai demandé à l'IA de me convertir ca en code </t>
  </si>
  <si>
    <t>J'ai fais quelques modification dans mes tests</t>
  </si>
  <si>
    <t>Je suis entrain de rediger la partie des tests</t>
  </si>
  <si>
    <t>J'ai fais quelques ajustement sur mon rapport et j'ai aussi rédiger ma stratégie de tests</t>
  </si>
  <si>
    <t>"</t>
  </si>
  <si>
    <t xml:space="preserve">J'ai fait une petite relecture </t>
  </si>
  <si>
    <t>Système de renvoi</t>
  </si>
  <si>
    <t xml:space="preserve">J'ai commencé le système de renvoi si une campagne est échouée </t>
  </si>
  <si>
    <t>J'ai commencé la rédaction de la conclusion du rapport</t>
  </si>
  <si>
    <t>J'ai terminé la partie 1 du rapport</t>
  </si>
  <si>
    <t>J'ai commencé la partie 2 du rapport j'ai notament fais la partie de l'installation du projet</t>
  </si>
  <si>
    <t xml:space="preserve">J'ai continué mon rapport j'ai notament commencé la partie documentation utilisateur et j'ai résumé le mandat </t>
  </si>
  <si>
    <t xml:space="preserve">J'ai commencé l'analyse critique mais j'ai un doute car dans ma conclusion je  parle déjà des points forts et faible de mon application  ducoup je ne sais pas si je fais un chapitre à part ou j'intègre ca dans la conclusion </t>
  </si>
  <si>
    <t xml:space="preserve">J'ai continué l'analyse critique sur l'api mail vs smtp maintant je vais vais expliquer la configuration DNS </t>
  </si>
  <si>
    <t>J'ai continué la partie configuration DNS si je prends autant de temps c'est parce que en parallèle que j'ecris j'essaie de me renseigner les plus possible pour évité de dire des choses fausses</t>
  </si>
  <si>
    <t xml:space="preserve">J'ai terminé la partie analyse </t>
  </si>
  <si>
    <t>J'ai principalement fait de la remise en forme  mais j'ai aussi continué le résumé</t>
  </si>
  <si>
    <t>Retard</t>
  </si>
  <si>
    <t xml:space="preserve">J'ai eu une panne de reveil ce qui m'a mis en retard </t>
  </si>
  <si>
    <t xml:space="preserve">J'ai rédigé la partie des résultat obtenu je me suis servi de l'IA de me dire qu'est ce que la section dvait contenir car je ne savais pas quoi écrire </t>
  </si>
  <si>
    <t>J'ai finis le résumé de mon rapport</t>
  </si>
  <si>
    <t xml:space="preserve">J'ai fait quelques ajustemnt et j'ai aussi discuté avec M. Melly concernant mon retard de ce matin </t>
  </si>
  <si>
    <t>J'ai fait le disctionnair de données</t>
  </si>
  <si>
    <t>J'ai fait quelques modification dans mon rapport et j'ai fait la video (pas fait le montage)</t>
  </si>
  <si>
    <t>Vidéo</t>
  </si>
  <si>
    <t>J'ai fait le Montage de la vidéo cependant je n'arrive pas à faire 30s ducoup j'ai demandé à M. Melly si ca allait quand même (en attente d'une réponse)</t>
  </si>
  <si>
    <t>J'ai imprimé et relu mon cdc et j'ai notament modifié mon glossaire en rajoutant des mots</t>
  </si>
  <si>
    <t>aJUSTEMENT</t>
  </si>
  <si>
    <t xml:space="preserve">J'avais donnée mon rapport à un proche pour qu'il me fasse un retour du coup je suis entrain de modifié tout cela </t>
  </si>
  <si>
    <t>J'ai terminé les modifications</t>
  </si>
  <si>
    <t xml:space="preserve">Rapport </t>
  </si>
  <si>
    <t>Recherches RGPD + ajustement (~1h)</t>
  </si>
  <si>
    <t>Planification</t>
  </si>
  <si>
    <t xml:space="preserve">Gestion des rôles </t>
  </si>
  <si>
    <t>Oublie</t>
  </si>
  <si>
    <t>Suite à un problème (sans doute un oublie de commit) le système de renvoi n'a pas été fait ducoup j'ai du le refaire</t>
  </si>
  <si>
    <t>Calcule des heures</t>
  </si>
  <si>
    <t>Système d'inscription/désinscription</t>
  </si>
  <si>
    <t>Interface de composition basique &amp; Interface de séléction des contact</t>
  </si>
  <si>
    <t>Implémentation de la file d'attente &amp; développement du processus de relais</t>
  </si>
  <si>
    <t>Système de tracking</t>
  </si>
  <si>
    <t>Réalisation des tests</t>
  </si>
  <si>
    <t xml:space="preserve">Total </t>
  </si>
  <si>
    <t>Tâche non planifiées</t>
  </si>
  <si>
    <t>Temps effectué</t>
  </si>
  <si>
    <t>Plannifié</t>
  </si>
  <si>
    <t>J'ai fait le calcule des heures pour la comparaison des heures effectuées vs planifiées</t>
  </si>
  <si>
    <t xml:space="preserve">J'ai commencé la page de statisitique </t>
  </si>
  <si>
    <t>J'ai continué la page de stats</t>
  </si>
  <si>
    <t>Page de statistique</t>
  </si>
  <si>
    <t>Divers changements</t>
  </si>
  <si>
    <t xml:space="preserve">J'ai fait quelques changement sur l'application notament la suppression du champ d'expiration du token JWT car je me suis rendu compte qu'il était inutile </t>
  </si>
  <si>
    <t>14h10</t>
  </si>
  <si>
    <t>Mise en production</t>
  </si>
  <si>
    <t>J'ai commencé la mise ne production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</si>
</sst>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8">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0" fontId="3" fillId="0" borderId="0" xfId="0" applyFont="1" applyAlignment="1">
      <alignment vertical="center" wrapText="1"/>
    </xf>
    <xf numFmtId="164" fontId="3" fillId="0" borderId="0" xfId="0" applyNumberFormat="1" applyFont="1" applyAlignment="1">
      <alignment vertical="center"/>
    </xf>
    <xf numFmtId="0" fontId="3" fillId="0" borderId="0" xfId="0" applyFont="1" applyAlignment="1">
      <alignment horizontal="right" vertical="center"/>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157"/>
  <sheetViews>
    <sheetView tabSelected="1" view="pageBreakPreview" zoomScaleNormal="100" zoomScaleSheetLayoutView="100" workbookViewId="0">
      <pane xSplit="3" ySplit="5" topLeftCell="D113" activePane="bottomRight" state="frozen"/>
      <selection pane="topRight" activeCell="D1" sqref="D1"/>
      <selection pane="bottomLeft" activeCell="A2" sqref="A2"/>
      <selection pane="bottomRight" activeCell="D122" sqref="D122"/>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44" t="s">
        <v>15</v>
      </c>
      <c r="C1" s="44"/>
      <c r="D1" s="22" t="s">
        <v>1</v>
      </c>
      <c r="E1" s="20" t="s">
        <v>33</v>
      </c>
    </row>
    <row r="2" spans="1:7" ht="21" customHeight="1" thickBot="1" x14ac:dyDescent="0.3">
      <c r="A2" s="21" t="s">
        <v>2</v>
      </c>
      <c r="B2" s="44" t="s">
        <v>16</v>
      </c>
      <c r="C2" s="44"/>
      <c r="D2" s="22" t="s">
        <v>3</v>
      </c>
      <c r="E2" s="20" t="s">
        <v>34</v>
      </c>
    </row>
    <row r="3" spans="1:7" ht="21" customHeight="1" x14ac:dyDescent="0.25">
      <c r="A3" s="21" t="s">
        <v>4</v>
      </c>
      <c r="B3" s="44" t="s">
        <v>17</v>
      </c>
      <c r="C3" s="44"/>
      <c r="D3" s="22" t="s">
        <v>5</v>
      </c>
      <c r="E3" s="19" t="s">
        <v>35</v>
      </c>
    </row>
    <row r="4" spans="1:7" ht="21" customHeight="1" x14ac:dyDescent="0.25">
      <c r="A4" s="21" t="s">
        <v>6</v>
      </c>
      <c r="B4" s="45" t="s">
        <v>36</v>
      </c>
      <c r="C4" s="46"/>
      <c r="D4" s="46"/>
      <c r="E4" s="47"/>
    </row>
    <row r="5" spans="1:7" ht="21" customHeight="1" thickBot="1" x14ac:dyDescent="0.3">
      <c r="A5" s="2" t="s">
        <v>7</v>
      </c>
      <c r="B5" s="3" t="s">
        <v>8</v>
      </c>
      <c r="C5" s="3" t="s">
        <v>9</v>
      </c>
      <c r="D5" s="2" t="s">
        <v>10</v>
      </c>
      <c r="E5" s="2" t="s">
        <v>11</v>
      </c>
    </row>
    <row r="6" spans="1:7" ht="18" customHeight="1" x14ac:dyDescent="0.25">
      <c r="A6" s="4" t="s">
        <v>18</v>
      </c>
      <c r="B6" s="41">
        <v>46139</v>
      </c>
      <c r="C6" s="5">
        <v>20</v>
      </c>
      <c r="D6" s="6"/>
      <c r="E6" s="23"/>
    </row>
    <row r="7" spans="1:7" ht="18" customHeight="1" x14ac:dyDescent="0.25">
      <c r="A7" s="7" t="s">
        <v>19</v>
      </c>
      <c r="B7" s="42"/>
      <c r="C7" s="8">
        <v>30</v>
      </c>
      <c r="D7" s="9" t="s">
        <v>37</v>
      </c>
      <c r="E7" s="8"/>
    </row>
    <row r="8" spans="1:7" ht="18" customHeight="1" x14ac:dyDescent="0.25">
      <c r="A8" s="7" t="s">
        <v>20</v>
      </c>
      <c r="B8" s="42"/>
      <c r="C8" s="8">
        <v>30</v>
      </c>
      <c r="D8" s="9"/>
      <c r="E8" s="8" t="s">
        <v>41</v>
      </c>
    </row>
    <row r="9" spans="1:7" ht="18" customHeight="1" x14ac:dyDescent="0.25">
      <c r="A9" s="7" t="s">
        <v>20</v>
      </c>
      <c r="B9" s="42"/>
      <c r="C9" s="8">
        <v>10</v>
      </c>
      <c r="D9" s="9"/>
      <c r="E9" s="8"/>
    </row>
    <row r="10" spans="1:7" ht="18" customHeight="1" x14ac:dyDescent="0.25">
      <c r="A10" s="7" t="s">
        <v>20</v>
      </c>
      <c r="B10" s="42"/>
      <c r="C10" s="10">
        <v>20</v>
      </c>
      <c r="D10" s="11"/>
      <c r="E10" s="10"/>
      <c r="F10" s="24"/>
      <c r="G10" s="24"/>
    </row>
    <row r="11" spans="1:7" ht="18" customHeight="1" x14ac:dyDescent="0.25">
      <c r="A11" s="7" t="s">
        <v>20</v>
      </c>
      <c r="B11" s="42"/>
      <c r="C11" s="10">
        <v>20</v>
      </c>
      <c r="D11" s="11" t="s">
        <v>39</v>
      </c>
      <c r="E11" s="10"/>
      <c r="F11" s="24"/>
      <c r="G11" s="24"/>
    </row>
    <row r="12" spans="1:7" x14ac:dyDescent="0.25">
      <c r="A12" s="7" t="s">
        <v>38</v>
      </c>
      <c r="B12" s="42"/>
      <c r="C12" s="10">
        <v>60</v>
      </c>
      <c r="D12" s="11" t="s">
        <v>40</v>
      </c>
      <c r="E12" s="10"/>
      <c r="F12" s="24"/>
      <c r="G12" s="24"/>
    </row>
    <row r="13" spans="1:7" ht="40.5" x14ac:dyDescent="0.25">
      <c r="A13" s="7" t="s">
        <v>43</v>
      </c>
      <c r="B13" s="42"/>
      <c r="C13" s="10">
        <v>10</v>
      </c>
      <c r="D13" s="11" t="s">
        <v>44</v>
      </c>
      <c r="E13" s="10"/>
      <c r="F13" s="24"/>
      <c r="G13" s="24"/>
    </row>
    <row r="14" spans="1:7" ht="27" x14ac:dyDescent="0.25">
      <c r="A14" s="7" t="s">
        <v>45</v>
      </c>
      <c r="B14" s="42"/>
      <c r="C14" s="10">
        <v>60</v>
      </c>
      <c r="D14" s="11" t="s">
        <v>46</v>
      </c>
      <c r="E14" s="10"/>
      <c r="F14" s="24"/>
      <c r="G14" s="24"/>
    </row>
    <row r="15" spans="1:7" ht="40.5" x14ac:dyDescent="0.25">
      <c r="A15" s="7" t="s">
        <v>38</v>
      </c>
      <c r="B15" s="42"/>
      <c r="C15" s="10">
        <v>45</v>
      </c>
      <c r="D15" s="11" t="s">
        <v>42</v>
      </c>
      <c r="E15" s="10"/>
      <c r="F15" s="24"/>
      <c r="G15" s="24"/>
    </row>
    <row r="16" spans="1:7" x14ac:dyDescent="0.25">
      <c r="A16" s="7" t="s">
        <v>45</v>
      </c>
      <c r="B16" s="42"/>
      <c r="C16" s="10">
        <v>20</v>
      </c>
      <c r="D16" s="11" t="s">
        <v>47</v>
      </c>
      <c r="E16" s="10"/>
      <c r="F16" s="24"/>
      <c r="G16" s="24"/>
    </row>
    <row r="17" spans="1:7" ht="14.25" thickBot="1" x14ac:dyDescent="0.3">
      <c r="A17" s="7"/>
      <c r="B17" s="43"/>
      <c r="C17" s="10"/>
      <c r="D17" s="11"/>
      <c r="E17" s="10"/>
    </row>
    <row r="18" spans="1:7" ht="18" customHeight="1" thickBot="1" x14ac:dyDescent="0.3">
      <c r="A18" s="12" t="s">
        <v>12</v>
      </c>
      <c r="B18" s="36" t="str">
        <f>INT(SUM(C6:C17)/60)&amp;"h"&amp;MOD(SUM(C6:C17),60)</f>
        <v>5h25</v>
      </c>
      <c r="C18" s="37"/>
      <c r="D18" s="37"/>
      <c r="E18" s="38"/>
    </row>
    <row r="19" spans="1:7" ht="18" customHeight="1" x14ac:dyDescent="0.25">
      <c r="A19" s="4" t="s">
        <v>20</v>
      </c>
      <c r="B19" s="41">
        <v>46141</v>
      </c>
      <c r="C19" s="5">
        <v>40</v>
      </c>
      <c r="D19" s="6" t="s">
        <v>48</v>
      </c>
      <c r="E19" s="5"/>
    </row>
    <row r="20" spans="1:7" ht="27" x14ac:dyDescent="0.25">
      <c r="A20" s="7" t="s">
        <v>45</v>
      </c>
      <c r="B20" s="42"/>
      <c r="C20" s="8">
        <v>55</v>
      </c>
      <c r="D20" s="9" t="s">
        <v>49</v>
      </c>
      <c r="E20" s="8"/>
    </row>
    <row r="21" spans="1:7" ht="18" customHeight="1" x14ac:dyDescent="0.2">
      <c r="A21" s="7" t="s">
        <v>45</v>
      </c>
      <c r="B21" s="42"/>
      <c r="C21" s="8">
        <v>40</v>
      </c>
      <c r="D21" s="9" t="s">
        <v>50</v>
      </c>
      <c r="E21" s="8"/>
      <c r="G21" s="25"/>
    </row>
    <row r="22" spans="1:7" ht="18" customHeight="1" x14ac:dyDescent="0.25">
      <c r="A22" s="7" t="s">
        <v>45</v>
      </c>
      <c r="B22" s="42"/>
      <c r="C22" s="8">
        <v>45</v>
      </c>
      <c r="D22" s="9" t="s">
        <v>51</v>
      </c>
      <c r="E22" s="8"/>
    </row>
    <row r="23" spans="1:7" ht="27" x14ac:dyDescent="0.25">
      <c r="A23" s="10" t="s">
        <v>52</v>
      </c>
      <c r="B23" s="42"/>
      <c r="C23" s="10">
        <v>60</v>
      </c>
      <c r="D23" s="11" t="s">
        <v>53</v>
      </c>
      <c r="E23" s="10"/>
    </row>
    <row r="24" spans="1:7" x14ac:dyDescent="0.25">
      <c r="A24" s="10" t="s">
        <v>52</v>
      </c>
      <c r="B24" s="42"/>
      <c r="C24" s="10">
        <v>60</v>
      </c>
      <c r="D24" s="11" t="s">
        <v>54</v>
      </c>
      <c r="E24" s="10"/>
    </row>
    <row r="25" spans="1:7" ht="40.5" x14ac:dyDescent="0.25">
      <c r="A25" s="10" t="s">
        <v>52</v>
      </c>
      <c r="B25" s="42"/>
      <c r="C25" s="10">
        <v>30</v>
      </c>
      <c r="D25" s="11" t="s">
        <v>55</v>
      </c>
      <c r="E25" s="10"/>
    </row>
    <row r="26" spans="1:7" x14ac:dyDescent="0.25">
      <c r="A26" s="10" t="s">
        <v>56</v>
      </c>
      <c r="B26" s="42"/>
      <c r="C26" s="10">
        <v>60</v>
      </c>
      <c r="D26" s="11" t="s">
        <v>57</v>
      </c>
      <c r="E26" s="10"/>
    </row>
    <row r="27" spans="1:7" ht="27.75" thickBot="1" x14ac:dyDescent="0.3">
      <c r="A27" s="10" t="s">
        <v>58</v>
      </c>
      <c r="B27" s="43"/>
      <c r="C27" s="10">
        <v>40</v>
      </c>
      <c r="D27" s="11" t="s">
        <v>59</v>
      </c>
      <c r="E27" s="10"/>
    </row>
    <row r="28" spans="1:7" ht="18" customHeight="1" thickBot="1" x14ac:dyDescent="0.3">
      <c r="A28" s="12" t="s">
        <v>12</v>
      </c>
      <c r="B28" s="36" t="str">
        <f>INT(SUM(C19:C27)/60)&amp;"h"&amp;MOD(SUM(C19:C27),60)</f>
        <v>7h10</v>
      </c>
      <c r="C28" s="37"/>
      <c r="D28" s="37"/>
      <c r="E28" s="38"/>
    </row>
    <row r="29" spans="1:7" ht="18" customHeight="1" x14ac:dyDescent="0.25">
      <c r="A29" s="4" t="s">
        <v>60</v>
      </c>
      <c r="B29" s="41">
        <v>46142</v>
      </c>
      <c r="C29" s="5">
        <v>60</v>
      </c>
      <c r="D29" s="6" t="s">
        <v>61</v>
      </c>
      <c r="E29" s="5"/>
    </row>
    <row r="30" spans="1:7" ht="54" x14ac:dyDescent="0.25">
      <c r="A30" s="7" t="s">
        <v>62</v>
      </c>
      <c r="B30" s="42"/>
      <c r="C30" s="8">
        <v>60</v>
      </c>
      <c r="D30" s="9" t="s">
        <v>63</v>
      </c>
      <c r="E30" s="27" t="s">
        <v>64</v>
      </c>
    </row>
    <row r="31" spans="1:7" ht="27" x14ac:dyDescent="0.25">
      <c r="A31" s="7" t="s">
        <v>38</v>
      </c>
      <c r="B31" s="42"/>
      <c r="C31" s="8">
        <v>70</v>
      </c>
      <c r="D31" s="9" t="s">
        <v>65</v>
      </c>
      <c r="E31" s="8"/>
    </row>
    <row r="32" spans="1:7" ht="18" customHeight="1" x14ac:dyDescent="0.25">
      <c r="A32" s="7"/>
      <c r="B32" s="42"/>
      <c r="C32" s="8"/>
      <c r="D32" s="9"/>
      <c r="E32" s="8"/>
    </row>
    <row r="33" spans="1:5" ht="18" customHeight="1" thickBot="1" x14ac:dyDescent="0.3">
      <c r="A33" s="10"/>
      <c r="B33" s="43"/>
      <c r="C33" s="10"/>
      <c r="D33" s="11"/>
      <c r="E33" s="10"/>
    </row>
    <row r="34" spans="1:5" ht="18" customHeight="1" thickBot="1" x14ac:dyDescent="0.3">
      <c r="A34" s="12" t="s">
        <v>12</v>
      </c>
      <c r="B34" s="36" t="str">
        <f>INT(SUM(C29:C33)/60)&amp;"h"&amp;MOD(SUM(C29:C33),60)</f>
        <v>3h10</v>
      </c>
      <c r="C34" s="37"/>
      <c r="D34" s="37"/>
      <c r="E34" s="38"/>
    </row>
    <row r="35" spans="1:5" ht="40.5" x14ac:dyDescent="0.25">
      <c r="A35" s="4" t="s">
        <v>38</v>
      </c>
      <c r="B35" s="41">
        <v>46143</v>
      </c>
      <c r="C35" s="5">
        <v>60</v>
      </c>
      <c r="D35" s="6" t="s">
        <v>66</v>
      </c>
      <c r="E35" s="5"/>
    </row>
    <row r="36" spans="1:5" ht="18" customHeight="1" x14ac:dyDescent="0.25">
      <c r="A36" s="7" t="s">
        <v>38</v>
      </c>
      <c r="B36" s="42"/>
      <c r="C36" s="8">
        <v>35</v>
      </c>
      <c r="D36" s="9" t="s">
        <v>67</v>
      </c>
      <c r="E36" s="8"/>
    </row>
    <row r="37" spans="1:5" ht="18" customHeight="1" x14ac:dyDescent="0.25">
      <c r="A37" s="7" t="s">
        <v>38</v>
      </c>
      <c r="B37" s="42"/>
      <c r="C37" s="8">
        <v>60</v>
      </c>
      <c r="D37" s="9" t="s">
        <v>68</v>
      </c>
      <c r="E37" s="8"/>
    </row>
    <row r="38" spans="1:5" ht="27" x14ac:dyDescent="0.25">
      <c r="A38" s="7" t="s">
        <v>38</v>
      </c>
      <c r="B38" s="42"/>
      <c r="C38" s="8">
        <v>30</v>
      </c>
      <c r="D38" s="9" t="s">
        <v>69</v>
      </c>
      <c r="E38" s="8"/>
    </row>
    <row r="39" spans="1:5" x14ac:dyDescent="0.25">
      <c r="A39" s="28" t="s">
        <v>70</v>
      </c>
      <c r="B39" s="42"/>
      <c r="C39" s="10">
        <v>35</v>
      </c>
      <c r="D39" s="11" t="s">
        <v>71</v>
      </c>
      <c r="E39" s="10"/>
    </row>
    <row r="40" spans="1:5" x14ac:dyDescent="0.25">
      <c r="A40" s="10" t="s">
        <v>72</v>
      </c>
      <c r="B40" s="42"/>
      <c r="C40" s="10">
        <v>20</v>
      </c>
      <c r="D40" s="11" t="s">
        <v>73</v>
      </c>
      <c r="E40" s="10"/>
    </row>
    <row r="41" spans="1:5" x14ac:dyDescent="0.25">
      <c r="A41" s="10" t="s">
        <v>72</v>
      </c>
      <c r="B41" s="42"/>
      <c r="C41" s="10">
        <v>50</v>
      </c>
      <c r="D41" s="11" t="s">
        <v>74</v>
      </c>
      <c r="E41" s="10"/>
    </row>
    <row r="42" spans="1:5" x14ac:dyDescent="0.25">
      <c r="A42" s="10" t="s">
        <v>72</v>
      </c>
      <c r="B42" s="42"/>
      <c r="C42" s="10">
        <v>45</v>
      </c>
      <c r="D42" s="11" t="s">
        <v>75</v>
      </c>
      <c r="E42" s="10"/>
    </row>
    <row r="43" spans="1:5" ht="40.5" x14ac:dyDescent="0.25">
      <c r="A43" s="10" t="s">
        <v>76</v>
      </c>
      <c r="B43" s="42"/>
      <c r="C43" s="10">
        <v>60</v>
      </c>
      <c r="D43" s="11" t="s">
        <v>77</v>
      </c>
      <c r="E43" s="29"/>
    </row>
    <row r="44" spans="1:5" ht="18" customHeight="1" thickBot="1" x14ac:dyDescent="0.3">
      <c r="A44" s="10" t="s">
        <v>76</v>
      </c>
      <c r="B44" s="43"/>
      <c r="C44" s="10">
        <v>35</v>
      </c>
      <c r="D44" s="30" t="s">
        <v>78</v>
      </c>
      <c r="E44" s="29"/>
    </row>
    <row r="45" spans="1:5" ht="18" customHeight="1" thickBot="1" x14ac:dyDescent="0.3">
      <c r="A45" s="12" t="s">
        <v>12</v>
      </c>
      <c r="B45" s="36" t="str">
        <f>INT(SUM(C35:C44)/60)&amp;"h"&amp;MOD(SUM(C35:C44),60)</f>
        <v>7h10</v>
      </c>
      <c r="C45" s="37"/>
      <c r="D45" s="37"/>
      <c r="E45" s="38"/>
    </row>
    <row r="46" spans="1:5" ht="18" customHeight="1" x14ac:dyDescent="0.25">
      <c r="A46" s="13" t="s">
        <v>76</v>
      </c>
      <c r="B46" s="41">
        <v>46146</v>
      </c>
      <c r="C46" s="13">
        <v>50</v>
      </c>
      <c r="D46" s="14" t="s">
        <v>79</v>
      </c>
      <c r="E46" s="13"/>
    </row>
    <row r="47" spans="1:5" ht="27" x14ac:dyDescent="0.25">
      <c r="A47" s="8" t="s">
        <v>76</v>
      </c>
      <c r="B47" s="42"/>
      <c r="C47" s="8">
        <v>45</v>
      </c>
      <c r="D47" s="9" t="s">
        <v>80</v>
      </c>
      <c r="E47" s="31"/>
    </row>
    <row r="48" spans="1:5" ht="18" customHeight="1" x14ac:dyDescent="0.25">
      <c r="A48" s="8" t="s">
        <v>38</v>
      </c>
      <c r="B48" s="42"/>
      <c r="C48" s="8">
        <v>60</v>
      </c>
      <c r="D48" s="9" t="s">
        <v>81</v>
      </c>
      <c r="E48" s="31"/>
    </row>
    <row r="49" spans="1:5" ht="18" customHeight="1" x14ac:dyDescent="0.25">
      <c r="A49" s="8" t="s">
        <v>38</v>
      </c>
      <c r="B49" s="42"/>
      <c r="C49" s="8">
        <v>35</v>
      </c>
      <c r="D49" s="9" t="s">
        <v>82</v>
      </c>
      <c r="E49" s="31"/>
    </row>
    <row r="50" spans="1:5" ht="27" x14ac:dyDescent="0.25">
      <c r="A50" s="8" t="s">
        <v>83</v>
      </c>
      <c r="B50" s="42"/>
      <c r="C50" s="8">
        <v>60</v>
      </c>
      <c r="D50" s="9" t="s">
        <v>84</v>
      </c>
      <c r="E50" s="31"/>
    </row>
    <row r="51" spans="1:5" ht="27" x14ac:dyDescent="0.25">
      <c r="A51" s="8" t="s">
        <v>83</v>
      </c>
      <c r="B51" s="42"/>
      <c r="C51" s="8">
        <v>20</v>
      </c>
      <c r="D51" s="9" t="s">
        <v>85</v>
      </c>
      <c r="E51" s="31"/>
    </row>
    <row r="52" spans="1:5" ht="108" x14ac:dyDescent="0.25">
      <c r="A52" s="8" t="s">
        <v>86</v>
      </c>
      <c r="B52" s="42"/>
      <c r="C52" s="8">
        <v>55</v>
      </c>
      <c r="D52" s="9" t="s">
        <v>87</v>
      </c>
      <c r="E52" s="31"/>
    </row>
    <row r="53" spans="1:5" ht="18" customHeight="1" thickBot="1" x14ac:dyDescent="0.3">
      <c r="A53" s="8"/>
      <c r="B53" s="43"/>
      <c r="C53" s="8"/>
      <c r="D53" s="32"/>
      <c r="E53" s="31"/>
    </row>
    <row r="54" spans="1:5" ht="18" customHeight="1" thickBot="1" x14ac:dyDescent="0.3">
      <c r="A54" s="12" t="s">
        <v>12</v>
      </c>
      <c r="B54" s="36" t="str">
        <f>INT(SUM(C46:C53)/60)&amp;"h"&amp;MOD(SUM(C46:C53),60)</f>
        <v>5h25</v>
      </c>
      <c r="C54" s="37"/>
      <c r="D54" s="37"/>
      <c r="E54" s="38"/>
    </row>
    <row r="55" spans="1:5" ht="18" customHeight="1" x14ac:dyDescent="0.25">
      <c r="A55" s="4" t="s">
        <v>88</v>
      </c>
      <c r="B55" s="41">
        <v>46148</v>
      </c>
      <c r="C55" s="5">
        <v>60</v>
      </c>
      <c r="D55" s="6" t="s">
        <v>89</v>
      </c>
      <c r="E55" s="5"/>
    </row>
    <row r="56" spans="1:5" ht="18" customHeight="1" x14ac:dyDescent="0.25">
      <c r="A56" s="7" t="s">
        <v>90</v>
      </c>
      <c r="B56" s="42"/>
      <c r="C56" s="8">
        <v>35</v>
      </c>
      <c r="D56" s="9" t="s">
        <v>91</v>
      </c>
      <c r="E56" s="8"/>
    </row>
    <row r="57" spans="1:5" ht="18" customHeight="1" x14ac:dyDescent="0.25">
      <c r="A57" s="7" t="s">
        <v>90</v>
      </c>
      <c r="B57" s="42"/>
      <c r="C57" s="8">
        <v>60</v>
      </c>
      <c r="D57" s="9" t="s">
        <v>92</v>
      </c>
      <c r="E57" s="8"/>
    </row>
    <row r="58" spans="1:5" ht="18" customHeight="1" x14ac:dyDescent="0.25">
      <c r="A58" s="7" t="s">
        <v>93</v>
      </c>
      <c r="B58" s="42"/>
      <c r="C58" s="8">
        <v>60</v>
      </c>
      <c r="D58" s="9" t="s">
        <v>94</v>
      </c>
      <c r="E58" s="8"/>
    </row>
    <row r="59" spans="1:5" ht="18" customHeight="1" x14ac:dyDescent="0.25">
      <c r="A59" s="28" t="s">
        <v>95</v>
      </c>
      <c r="B59" s="42"/>
      <c r="C59" s="10">
        <v>40</v>
      </c>
      <c r="D59" s="11" t="s">
        <v>96</v>
      </c>
      <c r="E59" s="10"/>
    </row>
    <row r="60" spans="1:5" ht="18" customHeight="1" x14ac:dyDescent="0.25">
      <c r="A60" s="28" t="s">
        <v>95</v>
      </c>
      <c r="B60" s="42"/>
      <c r="C60" s="10">
        <v>10</v>
      </c>
      <c r="D60" s="11" t="s">
        <v>97</v>
      </c>
      <c r="E60" s="10"/>
    </row>
    <row r="61" spans="1:5" ht="18" customHeight="1" x14ac:dyDescent="0.25">
      <c r="A61" s="28" t="s">
        <v>98</v>
      </c>
      <c r="B61" s="42"/>
      <c r="C61" s="10">
        <v>20</v>
      </c>
      <c r="D61" s="11" t="s">
        <v>99</v>
      </c>
      <c r="E61" s="10"/>
    </row>
    <row r="62" spans="1:5" ht="18" customHeight="1" x14ac:dyDescent="0.25">
      <c r="A62" s="28" t="s">
        <v>95</v>
      </c>
      <c r="B62" s="42"/>
      <c r="C62" s="10">
        <v>20</v>
      </c>
      <c r="D62" s="11" t="s">
        <v>100</v>
      </c>
      <c r="E62" s="10"/>
    </row>
    <row r="63" spans="1:5" ht="54" x14ac:dyDescent="0.25">
      <c r="A63" s="28" t="s">
        <v>58</v>
      </c>
      <c r="B63" s="42"/>
      <c r="C63" s="10">
        <v>35</v>
      </c>
      <c r="D63" s="11" t="s">
        <v>101</v>
      </c>
      <c r="E63" s="10" t="s">
        <v>102</v>
      </c>
    </row>
    <row r="64" spans="1:5" x14ac:dyDescent="0.25">
      <c r="A64" s="28" t="s">
        <v>20</v>
      </c>
      <c r="B64" s="42"/>
      <c r="C64" s="10">
        <v>45</v>
      </c>
      <c r="D64" s="11" t="s">
        <v>103</v>
      </c>
      <c r="E64" s="10"/>
    </row>
    <row r="65" spans="1:5" ht="27" x14ac:dyDescent="0.25">
      <c r="A65" s="28" t="s">
        <v>20</v>
      </c>
      <c r="B65" s="42"/>
      <c r="C65" s="10">
        <v>45</v>
      </c>
      <c r="D65" s="11" t="s">
        <v>104</v>
      </c>
      <c r="E65" s="10"/>
    </row>
    <row r="66" spans="1:5" ht="18" customHeight="1" thickBot="1" x14ac:dyDescent="0.3">
      <c r="A66" s="10"/>
      <c r="B66" s="43"/>
      <c r="C66" s="10"/>
      <c r="D66" s="11"/>
      <c r="E66" s="10"/>
    </row>
    <row r="67" spans="1:5" ht="18" customHeight="1" thickBot="1" x14ac:dyDescent="0.3">
      <c r="A67" s="12" t="s">
        <v>12</v>
      </c>
      <c r="B67" s="36" t="str">
        <f>INT(SUM(C55:C66)/60)&amp;"h"&amp;MOD(SUM(C55:C66),60)</f>
        <v>7h10</v>
      </c>
      <c r="C67" s="37"/>
      <c r="D67" s="37"/>
      <c r="E67" s="38"/>
    </row>
    <row r="68" spans="1:5" ht="27" x14ac:dyDescent="0.25">
      <c r="A68" s="4" t="s">
        <v>58</v>
      </c>
      <c r="B68" s="41">
        <v>46149</v>
      </c>
      <c r="C68" s="5">
        <v>60</v>
      </c>
      <c r="D68" s="6" t="s">
        <v>105</v>
      </c>
      <c r="E68" s="5"/>
    </row>
    <row r="69" spans="1:5" ht="54" x14ac:dyDescent="0.25">
      <c r="A69" s="7" t="s">
        <v>106</v>
      </c>
      <c r="B69" s="42"/>
      <c r="C69" s="8">
        <v>60</v>
      </c>
      <c r="D69" s="9" t="s">
        <v>107</v>
      </c>
      <c r="E69" s="8"/>
    </row>
    <row r="70" spans="1:5" ht="81" x14ac:dyDescent="0.25">
      <c r="A70" s="7" t="s">
        <v>108</v>
      </c>
      <c r="B70" s="42"/>
      <c r="C70" s="8">
        <v>55</v>
      </c>
      <c r="D70" s="9" t="s">
        <v>109</v>
      </c>
      <c r="E70" s="8"/>
    </row>
    <row r="71" spans="1:5" ht="18" customHeight="1" x14ac:dyDescent="0.25">
      <c r="A71" s="7" t="s">
        <v>38</v>
      </c>
      <c r="B71" s="42"/>
      <c r="C71" s="8">
        <v>15</v>
      </c>
      <c r="D71" s="9" t="s">
        <v>110</v>
      </c>
      <c r="E71" s="8"/>
    </row>
    <row r="72" spans="1:5" ht="18" customHeight="1" thickBot="1" x14ac:dyDescent="0.3">
      <c r="A72" s="10"/>
      <c r="B72" s="43"/>
      <c r="C72" s="10"/>
      <c r="D72" s="11"/>
      <c r="E72" s="10"/>
    </row>
    <row r="73" spans="1:5" ht="18" customHeight="1" thickBot="1" x14ac:dyDescent="0.3">
      <c r="A73" s="12" t="s">
        <v>12</v>
      </c>
      <c r="B73" s="36" t="str">
        <f>INT(SUM(C68:C72)/60)&amp;"h"&amp;MOD(SUM(C68:C72),60)</f>
        <v>3h10</v>
      </c>
      <c r="C73" s="37"/>
      <c r="D73" s="37"/>
      <c r="E73" s="38"/>
    </row>
    <row r="74" spans="1:5" ht="40.5" x14ac:dyDescent="0.25">
      <c r="A74" s="4" t="s">
        <v>93</v>
      </c>
      <c r="B74" s="41">
        <v>46150</v>
      </c>
      <c r="C74" s="5">
        <v>10</v>
      </c>
      <c r="D74" s="6" t="s">
        <v>111</v>
      </c>
      <c r="E74" s="5"/>
    </row>
    <row r="75" spans="1:5" ht="27" x14ac:dyDescent="0.25">
      <c r="A75" s="7" t="s">
        <v>38</v>
      </c>
      <c r="B75" s="42"/>
      <c r="C75" s="8">
        <v>50</v>
      </c>
      <c r="D75" s="9" t="s">
        <v>112</v>
      </c>
      <c r="E75" s="8"/>
    </row>
    <row r="76" spans="1:5" ht="18" customHeight="1" x14ac:dyDescent="0.25">
      <c r="A76" s="7" t="s">
        <v>38</v>
      </c>
      <c r="B76" s="42"/>
      <c r="C76" s="8">
        <v>35</v>
      </c>
      <c r="D76" s="9" t="s">
        <v>113</v>
      </c>
      <c r="E76" s="8"/>
    </row>
    <row r="77" spans="1:5" ht="27" x14ac:dyDescent="0.25">
      <c r="A77" s="7" t="s">
        <v>114</v>
      </c>
      <c r="B77" s="42"/>
      <c r="C77" s="8">
        <v>60</v>
      </c>
      <c r="D77" s="9" t="s">
        <v>115</v>
      </c>
      <c r="E77" s="8"/>
    </row>
    <row r="78" spans="1:5" x14ac:dyDescent="0.25">
      <c r="A78" s="28" t="s">
        <v>114</v>
      </c>
      <c r="B78" s="42"/>
      <c r="C78" s="10">
        <v>60</v>
      </c>
      <c r="D78" s="11" t="s">
        <v>116</v>
      </c>
      <c r="E78" s="10"/>
    </row>
    <row r="79" spans="1:5" x14ac:dyDescent="0.25">
      <c r="A79" s="28" t="s">
        <v>38</v>
      </c>
      <c r="B79" s="42"/>
      <c r="C79" s="10">
        <v>25</v>
      </c>
      <c r="D79" s="11" t="s">
        <v>117</v>
      </c>
      <c r="E79" s="10"/>
    </row>
    <row r="80" spans="1:5" ht="27" x14ac:dyDescent="0.25">
      <c r="A80" s="28" t="s">
        <v>38</v>
      </c>
      <c r="B80" s="42"/>
      <c r="C80" s="10">
        <v>60</v>
      </c>
      <c r="D80" s="11" t="s">
        <v>118</v>
      </c>
      <c r="E80" s="10"/>
    </row>
    <row r="81" spans="1:5" x14ac:dyDescent="0.25">
      <c r="A81" s="28" t="s">
        <v>38</v>
      </c>
      <c r="B81" s="42"/>
      <c r="C81" s="10">
        <v>60</v>
      </c>
      <c r="D81" s="11" t="s">
        <v>113</v>
      </c>
      <c r="E81" s="10"/>
    </row>
    <row r="82" spans="1:5" x14ac:dyDescent="0.25">
      <c r="A82" s="28" t="s">
        <v>38</v>
      </c>
      <c r="B82" s="42"/>
      <c r="C82" s="10">
        <v>60</v>
      </c>
      <c r="D82" s="11" t="s">
        <v>119</v>
      </c>
      <c r="E82" s="10"/>
    </row>
    <row r="83" spans="1:5" ht="18" customHeight="1" thickBot="1" x14ac:dyDescent="0.3">
      <c r="A83" s="10" t="s">
        <v>38</v>
      </c>
      <c r="B83" s="43"/>
      <c r="C83" s="10">
        <v>10</v>
      </c>
      <c r="D83" s="11" t="s">
        <v>119</v>
      </c>
      <c r="E83" s="10"/>
    </row>
    <row r="84" spans="1:5" ht="18" customHeight="1" thickBot="1" x14ac:dyDescent="0.3">
      <c r="A84" s="12" t="s">
        <v>12</v>
      </c>
      <c r="B84" s="36" t="str">
        <f>INT(SUM(C74:C83)/60)&amp;"h"&amp;MOD(SUM(C74:C83),60)</f>
        <v>7h10</v>
      </c>
      <c r="C84" s="37"/>
      <c r="D84" s="37"/>
      <c r="E84" s="38"/>
    </row>
    <row r="85" spans="1:5" ht="18" customHeight="1" x14ac:dyDescent="0.25">
      <c r="A85" s="4" t="s">
        <v>38</v>
      </c>
      <c r="B85" s="41">
        <v>46153</v>
      </c>
      <c r="C85" s="5">
        <v>20</v>
      </c>
      <c r="D85" s="6" t="s">
        <v>120</v>
      </c>
      <c r="E85" s="5"/>
    </row>
    <row r="86" spans="1:5" ht="18" customHeight="1" x14ac:dyDescent="0.25">
      <c r="A86" s="7" t="s">
        <v>121</v>
      </c>
      <c r="B86" s="42"/>
      <c r="C86" s="8">
        <v>40</v>
      </c>
      <c r="D86" s="9" t="s">
        <v>122</v>
      </c>
      <c r="E86" s="8"/>
    </row>
    <row r="87" spans="1:5" ht="18" customHeight="1" x14ac:dyDescent="0.25">
      <c r="A87" s="7" t="s">
        <v>38</v>
      </c>
      <c r="B87" s="42"/>
      <c r="C87" s="8">
        <v>60</v>
      </c>
      <c r="D87" s="9" t="s">
        <v>123</v>
      </c>
      <c r="E87" s="8"/>
    </row>
    <row r="88" spans="1:5" ht="18" customHeight="1" x14ac:dyDescent="0.25">
      <c r="A88" s="7" t="s">
        <v>38</v>
      </c>
      <c r="B88" s="42"/>
      <c r="C88" s="8">
        <v>60</v>
      </c>
      <c r="D88" s="9" t="s">
        <v>113</v>
      </c>
      <c r="E88" s="8"/>
    </row>
    <row r="89" spans="1:5" ht="18" customHeight="1" x14ac:dyDescent="0.25">
      <c r="A89" s="28" t="s">
        <v>38</v>
      </c>
      <c r="B89" s="42"/>
      <c r="C89" s="10">
        <v>15</v>
      </c>
      <c r="D89" s="11" t="s">
        <v>119</v>
      </c>
      <c r="E89" s="10"/>
    </row>
    <row r="90" spans="1:5" ht="18" customHeight="1" x14ac:dyDescent="0.25">
      <c r="A90" s="28" t="s">
        <v>38</v>
      </c>
      <c r="B90" s="42"/>
      <c r="C90" s="10">
        <v>60</v>
      </c>
      <c r="D90" s="11" t="s">
        <v>124</v>
      </c>
      <c r="E90" s="10"/>
    </row>
    <row r="91" spans="1:5" ht="27" x14ac:dyDescent="0.25">
      <c r="A91" s="28" t="s">
        <v>38</v>
      </c>
      <c r="B91" s="42"/>
      <c r="C91" s="10">
        <v>60</v>
      </c>
      <c r="D91" s="11" t="s">
        <v>125</v>
      </c>
      <c r="E91" s="10"/>
    </row>
    <row r="92" spans="1:5" ht="18" customHeight="1" thickBot="1" x14ac:dyDescent="0.3">
      <c r="A92" s="10" t="s">
        <v>38</v>
      </c>
      <c r="B92" s="43"/>
      <c r="C92" s="10">
        <v>10</v>
      </c>
      <c r="D92" s="9" t="s">
        <v>113</v>
      </c>
      <c r="E92" s="10"/>
    </row>
    <row r="93" spans="1:5" ht="18" customHeight="1" thickBot="1" x14ac:dyDescent="0.3">
      <c r="A93" s="12" t="s">
        <v>12</v>
      </c>
      <c r="B93" s="36" t="str">
        <f>INT(SUM(C85:C92)/60)&amp;"h"&amp;MOD(SUM(C85:C92),60)</f>
        <v>5h25</v>
      </c>
      <c r="C93" s="37"/>
      <c r="D93" s="37"/>
      <c r="E93" s="38"/>
    </row>
    <row r="94" spans="1:5" ht="27" x14ac:dyDescent="0.25">
      <c r="A94" s="13" t="s">
        <v>38</v>
      </c>
      <c r="B94" s="41">
        <v>46155</v>
      </c>
      <c r="C94" s="13">
        <v>60</v>
      </c>
      <c r="D94" s="14" t="s">
        <v>126</v>
      </c>
      <c r="E94" s="13"/>
    </row>
    <row r="95" spans="1:5" ht="18" customHeight="1" x14ac:dyDescent="0.25">
      <c r="A95" s="8" t="s">
        <v>38</v>
      </c>
      <c r="B95" s="42"/>
      <c r="C95" s="8">
        <v>35</v>
      </c>
      <c r="D95" s="9" t="s">
        <v>113</v>
      </c>
      <c r="E95" s="8"/>
    </row>
    <row r="96" spans="1:5" ht="40.5" x14ac:dyDescent="0.25">
      <c r="A96" s="8" t="s">
        <v>38</v>
      </c>
      <c r="B96" s="42"/>
      <c r="C96" s="8">
        <v>60</v>
      </c>
      <c r="D96" s="9" t="s">
        <v>127</v>
      </c>
      <c r="E96" s="8"/>
    </row>
    <row r="97" spans="1:5" ht="27" x14ac:dyDescent="0.25">
      <c r="A97" s="8" t="s">
        <v>38</v>
      </c>
      <c r="B97" s="42"/>
      <c r="C97" s="8">
        <v>60</v>
      </c>
      <c r="D97" s="9" t="s">
        <v>128</v>
      </c>
      <c r="E97" s="8"/>
    </row>
    <row r="98" spans="1:5" x14ac:dyDescent="0.25">
      <c r="A98" s="8" t="s">
        <v>38</v>
      </c>
      <c r="B98" s="42"/>
      <c r="C98" s="8">
        <v>25</v>
      </c>
      <c r="D98" s="9" t="s">
        <v>113</v>
      </c>
      <c r="E98" s="8"/>
    </row>
    <row r="99" spans="1:5" ht="40.5" x14ac:dyDescent="0.25">
      <c r="A99" s="8" t="s">
        <v>38</v>
      </c>
      <c r="B99" s="42"/>
      <c r="C99" s="8">
        <v>60</v>
      </c>
      <c r="D99" s="9" t="s">
        <v>129</v>
      </c>
      <c r="E99" s="8"/>
    </row>
    <row r="100" spans="1:5" x14ac:dyDescent="0.25">
      <c r="A100" s="8" t="s">
        <v>38</v>
      </c>
      <c r="B100" s="42"/>
      <c r="C100" s="8">
        <v>45</v>
      </c>
      <c r="D100" s="9" t="s">
        <v>130</v>
      </c>
      <c r="E100" s="8"/>
    </row>
    <row r="101" spans="1:5" x14ac:dyDescent="0.25">
      <c r="A101" s="8" t="s">
        <v>38</v>
      </c>
      <c r="B101" s="42"/>
      <c r="C101" s="8">
        <v>60</v>
      </c>
      <c r="D101" s="9" t="s">
        <v>131</v>
      </c>
      <c r="E101" s="8"/>
    </row>
    <row r="102" spans="1:5" ht="18" customHeight="1" thickBot="1" x14ac:dyDescent="0.3">
      <c r="A102" s="8" t="s">
        <v>38</v>
      </c>
      <c r="B102" s="43"/>
      <c r="C102" s="8">
        <v>25</v>
      </c>
      <c r="D102" s="9" t="s">
        <v>113</v>
      </c>
      <c r="E102" s="8"/>
    </row>
    <row r="103" spans="1:5" ht="18" customHeight="1" thickBot="1" x14ac:dyDescent="0.3">
      <c r="A103" s="12" t="s">
        <v>12</v>
      </c>
      <c r="B103" s="36" t="str">
        <f>INT(SUM(C94:C102)/60)&amp;"h"&amp;MOD(SUM(C94:C102),60)</f>
        <v>7h10</v>
      </c>
      <c r="C103" s="37"/>
      <c r="D103" s="37"/>
      <c r="E103" s="38"/>
    </row>
    <row r="104" spans="1:5" x14ac:dyDescent="0.25">
      <c r="A104" s="13" t="s">
        <v>132</v>
      </c>
      <c r="B104" s="41">
        <v>46160</v>
      </c>
      <c r="C104" s="13">
        <v>28</v>
      </c>
      <c r="D104" s="14" t="s">
        <v>133</v>
      </c>
      <c r="E104" s="13"/>
    </row>
    <row r="105" spans="1:5" ht="27" x14ac:dyDescent="0.25">
      <c r="A105" s="8" t="s">
        <v>38</v>
      </c>
      <c r="B105" s="42"/>
      <c r="C105" s="8">
        <v>22</v>
      </c>
      <c r="D105" s="9" t="s">
        <v>134</v>
      </c>
      <c r="E105" s="8"/>
    </row>
    <row r="106" spans="1:5" x14ac:dyDescent="0.25">
      <c r="A106" s="8" t="s">
        <v>38</v>
      </c>
      <c r="B106" s="42"/>
      <c r="C106" s="8">
        <v>20</v>
      </c>
      <c r="D106" s="9" t="s">
        <v>135</v>
      </c>
      <c r="E106" s="8"/>
    </row>
    <row r="107" spans="1:5" ht="27" x14ac:dyDescent="0.25">
      <c r="A107" s="8" t="s">
        <v>43</v>
      </c>
      <c r="B107" s="42"/>
      <c r="C107" s="8">
        <v>25</v>
      </c>
      <c r="D107" s="9" t="s">
        <v>136</v>
      </c>
      <c r="E107" s="8"/>
    </row>
    <row r="108" spans="1:5" x14ac:dyDescent="0.25">
      <c r="A108" s="8" t="s">
        <v>38</v>
      </c>
      <c r="B108" s="42"/>
      <c r="C108" s="8">
        <v>40</v>
      </c>
      <c r="D108" s="9" t="s">
        <v>137</v>
      </c>
      <c r="E108" s="8"/>
    </row>
    <row r="109" spans="1:5" ht="27" x14ac:dyDescent="0.25">
      <c r="A109" s="8" t="s">
        <v>38</v>
      </c>
      <c r="B109" s="42"/>
      <c r="C109" s="8">
        <v>55</v>
      </c>
      <c r="D109" s="9" t="s">
        <v>138</v>
      </c>
      <c r="E109" s="8"/>
    </row>
    <row r="110" spans="1:5" ht="27" x14ac:dyDescent="0.25">
      <c r="A110" s="8" t="s">
        <v>139</v>
      </c>
      <c r="B110" s="42"/>
      <c r="C110" s="8">
        <v>60</v>
      </c>
      <c r="D110" s="9" t="s">
        <v>140</v>
      </c>
      <c r="E110" s="8"/>
    </row>
    <row r="111" spans="1:5" ht="27" x14ac:dyDescent="0.25">
      <c r="A111" s="8" t="s">
        <v>38</v>
      </c>
      <c r="B111" s="42"/>
      <c r="C111" s="8">
        <v>60</v>
      </c>
      <c r="D111" s="9" t="s">
        <v>141</v>
      </c>
      <c r="E111" s="8"/>
    </row>
    <row r="112" spans="1:5" ht="18" customHeight="1" thickBot="1" x14ac:dyDescent="0.3">
      <c r="A112" s="8" t="s">
        <v>38</v>
      </c>
      <c r="B112" s="43"/>
      <c r="C112" s="8">
        <v>15</v>
      </c>
      <c r="D112" s="9" t="s">
        <v>142</v>
      </c>
      <c r="E112" s="8"/>
    </row>
    <row r="113" spans="1:5" ht="18" customHeight="1" thickBot="1" x14ac:dyDescent="0.3">
      <c r="A113" s="12" t="s">
        <v>12</v>
      </c>
      <c r="B113" s="36" t="str">
        <f>INT(SUM(C104:C112)/60)&amp;"h"&amp;MOD(SUM(C104:C112),60)</f>
        <v>5h25</v>
      </c>
      <c r="C113" s="37"/>
      <c r="D113" s="37"/>
      <c r="E113" s="38"/>
    </row>
    <row r="114" spans="1:5" ht="27" x14ac:dyDescent="0.25">
      <c r="A114" s="13" t="s">
        <v>38</v>
      </c>
      <c r="B114" s="41">
        <v>46162</v>
      </c>
      <c r="C114" s="13">
        <v>60</v>
      </c>
      <c r="D114" s="14" t="s">
        <v>143</v>
      </c>
      <c r="E114" s="13"/>
    </row>
    <row r="115" spans="1:5" x14ac:dyDescent="0.25">
      <c r="A115" s="8" t="s">
        <v>38</v>
      </c>
      <c r="B115" s="42"/>
      <c r="C115" s="8">
        <v>35</v>
      </c>
      <c r="D115" s="9" t="s">
        <v>144</v>
      </c>
      <c r="E115" s="8"/>
    </row>
    <row r="116" spans="1:5" ht="27" x14ac:dyDescent="0.25">
      <c r="A116" s="8" t="s">
        <v>149</v>
      </c>
      <c r="B116" s="42"/>
      <c r="C116" s="8">
        <v>20</v>
      </c>
      <c r="D116" s="9" t="s">
        <v>150</v>
      </c>
      <c r="E116" s="8"/>
    </row>
    <row r="117" spans="1:5" x14ac:dyDescent="0.25">
      <c r="A117" s="8" t="s">
        <v>151</v>
      </c>
      <c r="B117" s="42"/>
      <c r="C117" s="8">
        <v>30</v>
      </c>
      <c r="D117" s="9" t="s">
        <v>161</v>
      </c>
      <c r="E117" s="8"/>
    </row>
    <row r="118" spans="1:5" x14ac:dyDescent="0.25">
      <c r="A118" s="8" t="s">
        <v>164</v>
      </c>
      <c r="B118" s="42"/>
      <c r="C118" s="8">
        <v>60</v>
      </c>
      <c r="D118" s="9" t="s">
        <v>162</v>
      </c>
      <c r="E118" s="8"/>
    </row>
    <row r="119" spans="1:5" x14ac:dyDescent="0.25">
      <c r="A119" s="8" t="s">
        <v>164</v>
      </c>
      <c r="B119" s="42"/>
      <c r="C119" s="8">
        <v>45</v>
      </c>
      <c r="D119" s="9" t="s">
        <v>163</v>
      </c>
      <c r="E119" s="8"/>
    </row>
    <row r="120" spans="1:5" ht="27" x14ac:dyDescent="0.25">
      <c r="A120" s="8" t="s">
        <v>165</v>
      </c>
      <c r="B120" s="42"/>
      <c r="C120" s="8">
        <v>60</v>
      </c>
      <c r="D120" s="9" t="s">
        <v>166</v>
      </c>
      <c r="E120" s="8" t="s">
        <v>167</v>
      </c>
    </row>
    <row r="121" spans="1:5" x14ac:dyDescent="0.25">
      <c r="A121" s="8" t="s">
        <v>168</v>
      </c>
      <c r="B121" s="42"/>
      <c r="C121" s="8">
        <v>35</v>
      </c>
      <c r="D121" s="9" t="s">
        <v>169</v>
      </c>
      <c r="E121" s="8"/>
    </row>
    <row r="122" spans="1:5" ht="18" customHeight="1" thickBot="1" x14ac:dyDescent="0.3">
      <c r="A122" s="8"/>
      <c r="B122" s="43"/>
      <c r="C122" s="8"/>
      <c r="D122" s="9"/>
      <c r="E122" s="8"/>
    </row>
    <row r="123" spans="1:5" ht="18" customHeight="1" thickBot="1" x14ac:dyDescent="0.3">
      <c r="A123" s="12" t="s">
        <v>12</v>
      </c>
      <c r="B123" s="36" t="str">
        <f>INT(SUM(C114:C122)/60)&amp;"h"&amp;MOD(SUM(C114:C122),60)</f>
        <v>5h45</v>
      </c>
      <c r="C123" s="37"/>
      <c r="D123" s="37"/>
      <c r="E123" s="38"/>
    </row>
    <row r="124" spans="1:5" ht="21" customHeight="1" thickBot="1" x14ac:dyDescent="0.3">
      <c r="A124" s="39" t="s">
        <v>13</v>
      </c>
      <c r="B124" s="40"/>
      <c r="C124" s="15">
        <f>MROUND(SUM(C6:C123) /60,0.2)</f>
        <v>69.600000000000009</v>
      </c>
      <c r="D124" s="16"/>
      <c r="E124" s="17"/>
    </row>
    <row r="126" spans="1:5" x14ac:dyDescent="0.25">
      <c r="A126" s="18" t="s">
        <v>14</v>
      </c>
    </row>
    <row r="127" spans="1:5" x14ac:dyDescent="0.25">
      <c r="A127" s="18"/>
    </row>
    <row r="133" spans="1:4" x14ac:dyDescent="0.25">
      <c r="C133" s="1" t="s">
        <v>159</v>
      </c>
      <c r="D133" s="35" t="s">
        <v>160</v>
      </c>
    </row>
    <row r="135" spans="1:4" x14ac:dyDescent="0.25">
      <c r="A135" s="1" t="s">
        <v>145</v>
      </c>
      <c r="C135" s="34">
        <v>1.1402777777777777</v>
      </c>
      <c r="D135" s="24">
        <v>0.41666666666666669</v>
      </c>
    </row>
    <row r="137" spans="1:4" x14ac:dyDescent="0.25">
      <c r="A137" s="1" t="s">
        <v>146</v>
      </c>
      <c r="C137" s="24">
        <v>6.5972222222222224E-2</v>
      </c>
      <c r="D137" s="24">
        <v>0.625</v>
      </c>
    </row>
    <row r="139" spans="1:4" x14ac:dyDescent="0.25">
      <c r="A139" s="1" t="s">
        <v>147</v>
      </c>
      <c r="C139" s="24">
        <v>8.3333333333333329E-2</v>
      </c>
      <c r="D139" s="24">
        <v>0.125</v>
      </c>
    </row>
    <row r="141" spans="1:4" x14ac:dyDescent="0.25">
      <c r="A141" s="1" t="s">
        <v>45</v>
      </c>
      <c r="C141" s="24">
        <v>0.1111111111111111</v>
      </c>
      <c r="D141" s="24">
        <v>0.33333333333333331</v>
      </c>
    </row>
    <row r="143" spans="1:4" x14ac:dyDescent="0.25">
      <c r="A143" s="1" t="s">
        <v>148</v>
      </c>
      <c r="C143" s="24">
        <v>0.11458333333333333</v>
      </c>
      <c r="D143" s="24">
        <v>0.25</v>
      </c>
    </row>
    <row r="145" spans="1:4" x14ac:dyDescent="0.25">
      <c r="A145" s="1" t="s">
        <v>152</v>
      </c>
      <c r="C145" s="24">
        <v>0.15625</v>
      </c>
      <c r="D145" s="24">
        <v>0.16666666666666666</v>
      </c>
    </row>
    <row r="147" spans="1:4" ht="40.5" x14ac:dyDescent="0.25">
      <c r="A147" s="33" t="s">
        <v>153</v>
      </c>
      <c r="C147" s="24">
        <v>0.19791666666666666</v>
      </c>
      <c r="D147" s="24">
        <v>0.33333333333333331</v>
      </c>
    </row>
    <row r="149" spans="1:4" ht="54" x14ac:dyDescent="0.25">
      <c r="A149" s="33" t="s">
        <v>154</v>
      </c>
      <c r="C149" s="24">
        <v>0.13194444444444445</v>
      </c>
      <c r="D149" s="24">
        <v>0.33333333333333331</v>
      </c>
    </row>
    <row r="151" spans="1:4" x14ac:dyDescent="0.25">
      <c r="A151" s="1" t="s">
        <v>155</v>
      </c>
      <c r="C151" s="24">
        <v>9.0277777777777776E-2</v>
      </c>
      <c r="D151" s="24">
        <v>0.25</v>
      </c>
    </row>
    <row r="153" spans="1:4" x14ac:dyDescent="0.25">
      <c r="A153" s="1" t="s">
        <v>156</v>
      </c>
      <c r="C153" s="24">
        <v>8.3333333333333329E-2</v>
      </c>
      <c r="D153" s="24">
        <v>0.20833333333333334</v>
      </c>
    </row>
    <row r="155" spans="1:4" x14ac:dyDescent="0.25">
      <c r="A155" s="1" t="s">
        <v>158</v>
      </c>
      <c r="C155" s="34">
        <f>C157 - SUM(C135:C153)</f>
        <v>0.57152777777777741</v>
      </c>
      <c r="D155" s="35">
        <v>0</v>
      </c>
    </row>
    <row r="157" spans="1:4" x14ac:dyDescent="0.25">
      <c r="A157" s="1" t="s">
        <v>157</v>
      </c>
      <c r="C157" s="34">
        <v>2.7465277777777777</v>
      </c>
    </row>
  </sheetData>
  <mergeCells count="29">
    <mergeCell ref="B1:C1"/>
    <mergeCell ref="B2:C2"/>
    <mergeCell ref="B3:C3"/>
    <mergeCell ref="B4:E4"/>
    <mergeCell ref="B67:E67"/>
    <mergeCell ref="B6:B17"/>
    <mergeCell ref="B18:E18"/>
    <mergeCell ref="B19:B27"/>
    <mergeCell ref="B28:E28"/>
    <mergeCell ref="B29:B33"/>
    <mergeCell ref="B34:E34"/>
    <mergeCell ref="B35:B44"/>
    <mergeCell ref="B45:E45"/>
    <mergeCell ref="B46:B53"/>
    <mergeCell ref="B54:E54"/>
    <mergeCell ref="B55:B66"/>
    <mergeCell ref="B123:E123"/>
    <mergeCell ref="A124:B124"/>
    <mergeCell ref="B68:B72"/>
    <mergeCell ref="B73:E73"/>
    <mergeCell ref="B74:B83"/>
    <mergeCell ref="B84:E84"/>
    <mergeCell ref="B85:B92"/>
    <mergeCell ref="B93:E93"/>
    <mergeCell ref="B114:B122"/>
    <mergeCell ref="B94:B102"/>
    <mergeCell ref="B103:E103"/>
    <mergeCell ref="B104:B112"/>
    <mergeCell ref="B113:E113"/>
  </mergeCells>
  <dataValidations count="2">
    <dataValidation type="whole" operator="greaterThan" allowBlank="1" showInputMessage="1" showErrorMessage="1" errorTitle="Durée par tranche de 10min" error="Le nombre doit être de type entier" sqref="C85:C92 C74:C83 C55:C66 C68:C72 C29:C33 B6 C6:C17 C35:C44 C46:C53 C114:C122 C19:C27 C94:C102 C104:C112"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6 B68:B72 B74:B83 B85:B92 B114:B122 B94:B102 B104:B112"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27"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A1:G33"/>
  <sheetViews>
    <sheetView workbookViewId="0">
      <selection activeCell="I7" sqref="I7"/>
    </sheetView>
  </sheetViews>
  <sheetFormatPr baseColWidth="10" defaultRowHeight="13.5" x14ac:dyDescent="0.25"/>
  <cols>
    <col min="6" max="6" width="17" bestFit="1" customWidth="1"/>
    <col min="7" max="7" width="16.5703125" customWidth="1"/>
    <col min="9" max="9" width="16.28515625" bestFit="1" customWidth="1"/>
  </cols>
  <sheetData>
    <row r="1" spans="1:7" x14ac:dyDescent="0.25">
      <c r="B1" t="s">
        <v>21</v>
      </c>
      <c r="C1" t="s">
        <v>22</v>
      </c>
      <c r="D1" t="s">
        <v>23</v>
      </c>
      <c r="E1" t="s">
        <v>24</v>
      </c>
      <c r="F1" t="s">
        <v>25</v>
      </c>
      <c r="G1" t="s">
        <v>26</v>
      </c>
    </row>
    <row r="2" spans="1:7" x14ac:dyDescent="0.25">
      <c r="A2" t="s">
        <v>27</v>
      </c>
      <c r="B2" s="26">
        <v>0.33333333333333331</v>
      </c>
      <c r="C2" s="26">
        <v>0.47569444444444442</v>
      </c>
      <c r="D2" s="26">
        <v>0.51041666666666663</v>
      </c>
      <c r="E2" s="26">
        <v>0.61458333333333337</v>
      </c>
      <c r="F2" s="26">
        <v>2.0833333333333332E-2</v>
      </c>
      <c r="G2" s="26">
        <f>C2-B2+E2-D2-F2</f>
        <v>0.22569444444444445</v>
      </c>
    </row>
    <row r="3" spans="1:7" x14ac:dyDescent="0.25">
      <c r="A3" t="s">
        <v>28</v>
      </c>
      <c r="B3" s="26">
        <v>0</v>
      </c>
      <c r="C3" s="26">
        <v>0</v>
      </c>
      <c r="D3" s="26">
        <v>0</v>
      </c>
      <c r="E3" s="26">
        <v>0</v>
      </c>
      <c r="F3" s="26">
        <v>0</v>
      </c>
      <c r="G3" s="26">
        <v>0</v>
      </c>
    </row>
    <row r="4" spans="1:7" x14ac:dyDescent="0.25">
      <c r="A4" t="s">
        <v>29</v>
      </c>
      <c r="B4" s="26">
        <v>0.33333333333333331</v>
      </c>
      <c r="C4" s="26">
        <v>0.51041666666666663</v>
      </c>
      <c r="D4" s="26">
        <v>0.54861111111111116</v>
      </c>
      <c r="E4" s="26">
        <v>0.69097222222222221</v>
      </c>
      <c r="F4" s="26">
        <v>2.0833333333333332E-2</v>
      </c>
      <c r="G4" s="26">
        <v>0.2986111111111111</v>
      </c>
    </row>
    <row r="5" spans="1:7" x14ac:dyDescent="0.25">
      <c r="A5" t="s">
        <v>30</v>
      </c>
      <c r="B5" s="26">
        <v>0</v>
      </c>
      <c r="C5" s="26">
        <v>0</v>
      </c>
      <c r="D5" s="26">
        <v>0.54861111111111116</v>
      </c>
      <c r="E5" s="26">
        <v>0.69097222222222221</v>
      </c>
      <c r="F5" s="26">
        <v>1.0416666666666666E-2</v>
      </c>
      <c r="G5" s="26">
        <f>E5-D5-F5</f>
        <v>0.13194444444444439</v>
      </c>
    </row>
    <row r="6" spans="1:7" x14ac:dyDescent="0.25">
      <c r="A6" t="s">
        <v>31</v>
      </c>
      <c r="B6" s="26">
        <v>0.33333333333333331</v>
      </c>
      <c r="C6" s="26">
        <v>0.51041666666666663</v>
      </c>
      <c r="D6" s="26">
        <v>0.54861111111111116</v>
      </c>
      <c r="E6" s="26">
        <v>0.69097222222222221</v>
      </c>
      <c r="F6" s="26">
        <v>2.0833333333333332E-2</v>
      </c>
      <c r="G6" s="26">
        <v>0.2986111111111111</v>
      </c>
    </row>
    <row r="8" spans="1:7" x14ac:dyDescent="0.25">
      <c r="F8" t="s">
        <v>32</v>
      </c>
      <c r="G8" s="26">
        <v>0.95138888888888884</v>
      </c>
    </row>
    <row r="15" spans="1:7" x14ac:dyDescent="0.25">
      <c r="E15" s="26"/>
    </row>
    <row r="16" spans="1:7"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2026-05-20T12:45:00Z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