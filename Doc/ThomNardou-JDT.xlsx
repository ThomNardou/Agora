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updateLinks="never" codeName="ThisWorkbook"/>
  <mc:AlternateContent xmlns:mc="http://schemas.openxmlformats.org/markup-compatibility/2006">
    <mc:Choice Requires="x15">
      <x15ac:absPath xmlns:x15ac="http://schemas.microsoft.com/office/spreadsheetml/2010/11/ac" url="C:\Users\pk88yte\Documents\Github\Agora\Doc\"/>
    </mc:Choice>
  </mc:AlternateContent>
  <xr:revisionPtr revIDLastSave="0" documentId="13_ncr:1_{03587A42-8D40-417D-9C43-2AA5CC47256F}" xr6:coauthVersionLast="47" xr6:coauthVersionMax="47" xr10:uidLastSave="{00000000-0000-0000-0000-000000000000}"/>
  <bookViews>
    <workbookView xWindow="28680" yWindow="-120" windowWidth="29040" windowHeight="15840" xr2:uid="{00000000-000D-0000-FFFF-FFFF00000000}"/>
  </bookViews>
  <sheets>
    <sheet name="Journal" sheetId="18" r:id="rId1"/>
    <sheet name="Feuil1" sheetId="19" r:id="rId2"/>
  </sheets>
  <definedNames>
    <definedName name="_xlnm.Print_Area" localSheetId="0">Journal!$A$1:$E$147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8" i="18" l="1"/>
  <c r="B135" i="18"/>
  <c r="B124" i="18"/>
  <c r="G2" i="19"/>
  <c r="C147" i="18"/>
  <c r="B113" i="18"/>
  <c r="B103" i="18"/>
  <c r="B146" i="18"/>
  <c r="B93" i="18"/>
  <c r="B84" i="18"/>
  <c r="B73" i="18"/>
  <c r="B67" i="18"/>
  <c r="B54" i="18"/>
  <c r="B45" i="18"/>
  <c r="G5" i="19"/>
  <c r="B34" i="18"/>
  <c r="B28" i="18"/>
  <c r="B18" i="18"/>
</calcChain>
</file>

<file path=xl/sharedStrings.xml><?xml version="1.0" encoding="utf-8"?>
<sst xmlns="http://schemas.openxmlformats.org/spreadsheetml/2006/main" count="292" uniqueCount="194">
  <si>
    <t>Apprenti.e</t>
  </si>
  <si>
    <t>Durée total (h ou p)</t>
  </si>
  <si>
    <t>Classe ou Groupe</t>
  </si>
  <si>
    <t>Experts </t>
  </si>
  <si>
    <t>Chef.fe de Projet</t>
  </si>
  <si>
    <t>Bulle / Domaine / Module</t>
  </si>
  <si>
    <t>Sujet </t>
  </si>
  <si>
    <t>Tâches</t>
  </si>
  <si>
    <t>Dates</t>
  </si>
  <si>
    <r>
      <t xml:space="preserve">Durées </t>
    </r>
    <r>
      <rPr>
        <b/>
        <sz val="10"/>
        <rFont val="Century Gothic"/>
        <family val="2"/>
      </rPr>
      <t>[min]</t>
    </r>
  </si>
  <si>
    <t>Explications / Etats</t>
  </si>
  <si>
    <t>Sources, liens, références, commits …</t>
  </si>
  <si>
    <t>Bilan du jour :</t>
  </si>
  <si>
    <t>Total en heures</t>
  </si>
  <si>
    <t>Si nécessaire, [ Copier ] &amp; [ Insérer ] un ou des jours supplémentaires avant la ligne du total</t>
  </si>
  <si>
    <t>Thomas Nardou</t>
  </si>
  <si>
    <t>MID4</t>
  </si>
  <si>
    <t xml:space="preserve">Jonathan Melly </t>
  </si>
  <si>
    <t>Lecture CDC</t>
  </si>
  <si>
    <t>Disscussion avec expert</t>
  </si>
  <si>
    <t>Plannification</t>
  </si>
  <si>
    <t>Début</t>
  </si>
  <si>
    <t>Fin Matin</t>
  </si>
  <si>
    <t>Debut Après midi</t>
  </si>
  <si>
    <t>Fin</t>
  </si>
  <si>
    <t>Pause</t>
  </si>
  <si>
    <t>Temps de travail</t>
  </si>
  <si>
    <t>Lundi</t>
  </si>
  <si>
    <t>Mardi</t>
  </si>
  <si>
    <t>Mercredi</t>
  </si>
  <si>
    <t>Jeudi</t>
  </si>
  <si>
    <t>Vendredi</t>
  </si>
  <si>
    <t>TOTAL :</t>
  </si>
  <si>
    <t>90h</t>
  </si>
  <si>
    <t>Nicolas Bordoën, Michael Wyssa</t>
  </si>
  <si>
    <t>Travail pratique individuel (TPI)</t>
  </si>
  <si>
    <t>Agora</t>
  </si>
  <si>
    <t>J'ai rencontré un de mes deux expert avec on a pu discuter des modalité du TPI</t>
  </si>
  <si>
    <t>Rapport</t>
  </si>
  <si>
    <t>J'ai terminé la plannification je vais l'envoyer cet après midi aux experts</t>
  </si>
  <si>
    <t>J'ai déjà commencé la rédaction du rapport</t>
  </si>
  <si>
    <t>https://www.onlinegantt.com/#/gantt</t>
  </si>
  <si>
    <t xml:space="preserve"> J'ai un peu avancé sur la rédaction du rapport où j'ai notament fait le contexte ma méthode de travail et les risques j'ai utilisé l'IA afin de corrigé les fautes reformuler des tournure de phrase </t>
  </si>
  <si>
    <t>Discussion</t>
  </si>
  <si>
    <t>J'avais quelques question concernant le CRON j'en ai donc discuté avec M. Melly et on a aussi discuté si le stattus En cours, Terminé/ Echouée concernait la campagne ou juste le mail et on a décidé que ca touchais uniquement la campagne</t>
  </si>
  <si>
    <t>Maquettes</t>
  </si>
  <si>
    <t>J'ai commencé les maquettes basse fidélité en me basant sur une ancienne app que j'ai faite afin de gagner du temps</t>
  </si>
  <si>
    <t>J'ai continué mes maquettes</t>
  </si>
  <si>
    <t>Suite au mail de M. Borboën j'ai modifié ma planification</t>
  </si>
  <si>
    <t>J'ai commencé les maquettes hautes fidélité et en cours j'ai remarqué que j'avais oublié de faire la page de vue d'une campagne dans les maquette basse fidélité</t>
  </si>
  <si>
    <t>J'ai finis les maquette HF pour la page d'accueil</t>
  </si>
  <si>
    <t>J'ai terminé mes maquettes HF et j'ai aussi corrigé les maquette BF</t>
  </si>
  <si>
    <t>Base de donnée</t>
  </si>
  <si>
    <t>J'ai fais la modélisation de ma base de donnée et j'ai aussi profité pour créer la route de login</t>
  </si>
  <si>
    <t xml:space="preserve">J'ai des problème pour pouvoir utilisé ma base de donnée </t>
  </si>
  <si>
    <t>J'ai enfin regle le sproblème avec ma base donnée le problème était du à la verison de prisma je suis donc retourné dans une version antiérieur (celle utilisée dans le P-APPRO2)</t>
  </si>
  <si>
    <t>page d'abonnement</t>
  </si>
  <si>
    <t>J'ai fais la page pour s'abonner</t>
  </si>
  <si>
    <t>Ajustement</t>
  </si>
  <si>
    <t>Inscription</t>
  </si>
  <si>
    <t>J'ai presque terminé le système d'abonnement il me manque juste un petit detail</t>
  </si>
  <si>
    <t>Désinscription</t>
  </si>
  <si>
    <t>J'ai fais le système de déinscription, si j'ai pris autant de tempsc'est parce que je ne savais pas si au niveau légal je pouvais conserver l'utilisateur et enfaite j'ai appris que effectivement je dois supprimé les données dès lors quelles ne sont plus utiles cependant je peux les anonymisées et c'est ce que j'ai choisi</t>
  </si>
  <si>
    <t>http://weka.ch/themes/ressources-humaines/contrats-de-travail-et-reglements/protection-des-donnees/article/donnees-rh-quels-sont-les-delais-de-conservation-des-donnees-des-collaborateurs/</t>
  </si>
  <si>
    <t>J'avais envie d'un peu avancer dans mon rapport et c'est ce que j'ai fait j'ai notement réaliser la partie des exigences et les maquettes (pas encore terminé)</t>
  </si>
  <si>
    <t>J'ai pas mal avancé sur mon rapport j'ai notament modifié certaines choses dans la partie maqeutte (par ex mettre les légendes) et j'ai commencé/ bien avancé dans la aprtie de la base de donnée</t>
  </si>
  <si>
    <t>J'ai continué mon rapport où j'explique notament chaque table de la DB avec leurs relations</t>
  </si>
  <si>
    <t xml:space="preserve">J'ai continué mon rapport </t>
  </si>
  <si>
    <t>J'ai avancé dans mon rapport j'ai notament fait la partie explication du système d'auth des admin et la aprtie des choix technnique</t>
  </si>
  <si>
    <t>Système de login</t>
  </si>
  <si>
    <t>J'ai fait le système de login pour les admins</t>
  </si>
  <si>
    <t>Dashboard</t>
  </si>
  <si>
    <t>J'ai commencé le dashboard</t>
  </si>
  <si>
    <t>J'ai fais l'affichage des datas dans le dashboard</t>
  </si>
  <si>
    <t>J'ai terminé la page d'accueil du dashboard</t>
  </si>
  <si>
    <t>CRON</t>
  </si>
  <si>
    <t xml:space="preserve">J'ai commencé à me renseigner j'ai déjà réflchis comment j'allais et enfaite je me suis dis que j'allais lancer un script au démarrage qui va s'executer toutes les x minutes et va envoyé </t>
  </si>
  <si>
    <t>J'ai une petite base pour le script mais il n'est pas encore fonctionnel</t>
  </si>
  <si>
    <t xml:space="preserve">J'ai presque terminé le script </t>
  </si>
  <si>
    <t>J'ai fais quelques modification notament la limite d'echec avant de dire qu'une campagne à échouée</t>
  </si>
  <si>
    <t>J'ai fais un schéma qui explique comment mon scipt fonctionne</t>
  </si>
  <si>
    <t>J'ai modifié certain point de mon rapport pour qu'ils corspondent à mon CDC</t>
  </si>
  <si>
    <t>Pixel tracking</t>
  </si>
  <si>
    <t xml:space="preserve">Je suis entrain de travailler sur le pixel tracking mais je but sur un petit problème qui est que vu que mon environnement est local le mail ne charge pas l'image </t>
  </si>
  <si>
    <t>J'ai terminé le système de tacking par pixel pour tester c'est que j'ai ouvert le lien directement depuis mon navigateur</t>
  </si>
  <si>
    <t>Link tracking</t>
  </si>
  <si>
    <t xml:space="preserve">Je me suis renseigner sur la réecriture des lien et je me suis servit de l'IA pour qu'elle me donne les regex et aussi pour que les lien affiché soient toujours ce que l'utilisateur veut par exemple :
si il met ca [Duck Duck Go](https://duckduckgo.com) le html affichera Duck Duck go avec comme lien le lien réecrit
Si il met juste ca https://duckduckgo.com alors ce sera juste le texte affiché et derrière sera le lien réecrit </t>
  </si>
  <si>
    <t>création</t>
  </si>
  <si>
    <t>J'ai commencé la page de création d'un campagne</t>
  </si>
  <si>
    <t>creation</t>
  </si>
  <si>
    <t>J'ai continué mon editeur simple et j'ai presque terminé</t>
  </si>
  <si>
    <t>J'ai terminé la page de création mais j'ai un problème avec mon API</t>
  </si>
  <si>
    <t>Modification</t>
  </si>
  <si>
    <t>J'ai ajouté le sstème de modification d'une campagne</t>
  </si>
  <si>
    <t>Page des détails</t>
  </si>
  <si>
    <t>J'ai commencé la page de détails d'une campagne</t>
  </si>
  <si>
    <t>J'ai contuné la page des détails</t>
  </si>
  <si>
    <t>Discussion avec Expert 2</t>
  </si>
  <si>
    <t>J'ai eu la visite du deuxième expert afin de faire le point</t>
  </si>
  <si>
    <t>J'ai terminé la page des détails</t>
  </si>
  <si>
    <t>J'ai demandé à l'IA si il y a avait des choses qui allais à l'encontre du RGPD/LPD et il y avait effectivement quelques petits point à modifié notament au niveau du tracking ou je ne peux pas relier un utilisateur à un "track" sans son consentement j'ai donc pris la decission d'enlever les relation avec la table readers</t>
  </si>
  <si>
    <t>https://www.privacy-regulation.eu/fr/6.htm</t>
  </si>
  <si>
    <t>Je suis entrain de travailler sur la partie planification d'une campagne</t>
  </si>
  <si>
    <t>J'ai terminé la planification d'une campagne et jai commencé l'envoie mais j'ai pas encore temriné j'ai quelques soucis</t>
  </si>
  <si>
    <t>J'ai fais quelques ajustement au niveau de l'app ou j'ai notament ajouté la possiblité de delete des campagne/lecteur (j'avais oublié de le faire)</t>
  </si>
  <si>
    <t>Disccussion + ajustement</t>
  </si>
  <si>
    <t>J'ai continué mes ajustement et j'ai notament discuté avec M. Melly histoire de faire un point de situation il m'a notament fais la remsrque de mettre de colone en plus dans la table de campagne et de laissé 30s de delais pour supprimer une campagne qui vient d'être envoyé</t>
  </si>
  <si>
    <t>discussion</t>
  </si>
  <si>
    <t>J'ai fait les ajustement voulu (colone en plus pour le nombre d'envoi et de click) par M. Melly et j'ai aussi reglé quelques petit bugs et j'ai discuté concernant les 30s avant l'envoie et on en a conclu que je devais abondonner cette partie car le script ne me premet pas de une : connaitre précisement la prochaine execution du script de deux, si au moment il veut supprimer ne pas excuter le script pour la campagne et la supprimer</t>
  </si>
  <si>
    <t>J'ai un peu avancer sur mon rapport</t>
  </si>
  <si>
    <t>J'ai modifié (suite à la demande de M. Melly) le fait d'envoyé une campagne maintenant, elle est mise en "planifiée" pour 5min plus tard pour laissé le temps à l'utilisateur de l'annuler</t>
  </si>
  <si>
    <t>J'ai avancé dans mon rapport ou j'ai notament modifé la partie pour la DB car j'avais fait quelques changement</t>
  </si>
  <si>
    <t>J'ai continué mon rapport</t>
  </si>
  <si>
    <t>TEST</t>
  </si>
  <si>
    <t xml:space="preserve">J'ai fais une liste des test unitaire à faire et pour gagner du temps j'ai demandé à l'IA de me convertir ca en code </t>
  </si>
  <si>
    <t>J'ai fais quelques modification dans mes tests</t>
  </si>
  <si>
    <t>Je suis entrain de rediger la partie des tests</t>
  </si>
  <si>
    <t>J'ai fais quelques ajustement sur mon rapport et j'ai aussi rédiger ma stratégie de tests</t>
  </si>
  <si>
    <t>"</t>
  </si>
  <si>
    <t xml:space="preserve">J'ai fait une petite relecture </t>
  </si>
  <si>
    <t>Système de renvoi</t>
  </si>
  <si>
    <t xml:space="preserve">J'ai commencé le système de renvoi si une campagne est échouée </t>
  </si>
  <si>
    <t>J'ai commencé la rédaction de la conclusion du rapport</t>
  </si>
  <si>
    <t>J'ai terminé la partie 1 du rapport</t>
  </si>
  <si>
    <t>J'ai commencé la partie 2 du rapport j'ai notament fais la partie de l'installation du projet</t>
  </si>
  <si>
    <t xml:space="preserve">J'ai continué mon rapport j'ai notament commencé la partie documentation utilisateur et j'ai résumé le mandat </t>
  </si>
  <si>
    <t xml:space="preserve">J'ai commencé l'analyse critique mais j'ai un doute car dans ma conclusion je  parle déjà des points forts et faible de mon application  ducoup je ne sais pas si je fais un chapitre à part ou j'intègre ca dans la conclusion </t>
  </si>
  <si>
    <t xml:space="preserve">J'ai continué l'analyse critique sur l'api mail vs smtp maintant je vais vais expliquer la configuration DNS </t>
  </si>
  <si>
    <t>J'ai continué la partie configuration DNS si je prends autant de temps c'est parce que en parallèle que j'ecris j'essaie de me renseigner les plus possible pour évité de dire des choses fausses</t>
  </si>
  <si>
    <t xml:space="preserve">J'ai terminé la partie analyse </t>
  </si>
  <si>
    <t>J'ai principalement fait de la remise en forme  mais j'ai aussi continué le résumé</t>
  </si>
  <si>
    <t>Retard</t>
  </si>
  <si>
    <t xml:space="preserve">J'ai eu une panne de reveil ce qui m'a mis en retard </t>
  </si>
  <si>
    <t xml:space="preserve">J'ai rédigé la partie des résultat obtenu je me suis servi de l'IA de me dire qu'est ce que la section dvait contenir car je ne savais pas quoi écrire </t>
  </si>
  <si>
    <t>J'ai finis le résumé de mon rapport</t>
  </si>
  <si>
    <t xml:space="preserve">J'ai fait quelques ajustemnt et j'ai aussi discuté avec M. Melly concernant mon retard de ce matin </t>
  </si>
  <si>
    <t>J'ai fait le disctionnair de données</t>
  </si>
  <si>
    <t>J'ai fait quelques modification dans mon rapport et j'ai fait la video (pas fait le montage)</t>
  </si>
  <si>
    <t>Vidéo</t>
  </si>
  <si>
    <t>J'ai fait le Montage de la vidéo cependant je n'arrive pas à faire 30s ducoup j'ai demandé à M. Melly si ca allait quand même (en attente d'une réponse)</t>
  </si>
  <si>
    <t>J'ai imprimé et relu mon cdc et j'ai notament modifié mon glossaire en rajoutant des mots</t>
  </si>
  <si>
    <t>aJUSTEMENT</t>
  </si>
  <si>
    <t xml:space="preserve">J'avais donnée mon rapport à un proche pour qu'il me fasse un retour du coup je suis entrain de modifié tout cela </t>
  </si>
  <si>
    <t>J'ai terminé les modifications</t>
  </si>
  <si>
    <t xml:space="preserve">Rapport </t>
  </si>
  <si>
    <t>Recherches RGPD + ajustement (~1h)</t>
  </si>
  <si>
    <t>Planification</t>
  </si>
  <si>
    <t xml:space="preserve">Gestion des rôles </t>
  </si>
  <si>
    <t>Oublie</t>
  </si>
  <si>
    <t>Suite à un problème (sans doute un oublie de commit) le système de renvoi n'a pas été fait ducoup j'ai du le refaire</t>
  </si>
  <si>
    <t>Calcule des heures</t>
  </si>
  <si>
    <t>Système d'inscription/désinscription</t>
  </si>
  <si>
    <t>Interface de composition basique &amp; Interface de séléction des contact</t>
  </si>
  <si>
    <t>Implémentation de la file d'attente &amp; développement du processus de relais</t>
  </si>
  <si>
    <t>Système de tracking</t>
  </si>
  <si>
    <t>Réalisation des tests</t>
  </si>
  <si>
    <t xml:space="preserve">Total </t>
  </si>
  <si>
    <t>Tâche non planifiées</t>
  </si>
  <si>
    <t>Temps effectué</t>
  </si>
  <si>
    <t>Plannifié</t>
  </si>
  <si>
    <t>J'ai fait le calcule des heures pour la comparaison des heures effectuées vs planifiées</t>
  </si>
  <si>
    <t xml:space="preserve">J'ai commencé la page de statisitique </t>
  </si>
  <si>
    <t>J'ai continué la page de stats</t>
  </si>
  <si>
    <t>Page de statistique</t>
  </si>
  <si>
    <t>Divers changements</t>
  </si>
  <si>
    <t xml:space="preserve">J'ai fait quelques changement sur l'application notament la suppression du champ d'expiration du token JWT car je me suis rendu compte qu'il était inutile </t>
  </si>
  <si>
    <t>Mise en production</t>
  </si>
  <si>
    <t>J'ai commencé la mise ne production</t>
  </si>
  <si>
    <t>15h00</t>
  </si>
  <si>
    <t>J'essaie la mise en production mais j'y arrive pas à cause du certificat</t>
  </si>
  <si>
    <t>Mise ne production terminée (problème de confiance du certificat</t>
  </si>
  <si>
    <t>Disscussion</t>
  </si>
  <si>
    <t>M. Melly ma envoyé un mail pour me faire un retour sur mon rapport et sur mon application et on a discuté de ce qu'il fallait modifié</t>
  </si>
  <si>
    <t>Modification schémas</t>
  </si>
  <si>
    <t>J'ai modifié les schémas conformément aux remarques de M. Melly</t>
  </si>
  <si>
    <t>Modification Rapport</t>
  </si>
  <si>
    <t xml:space="preserve">J'ai commencé à modifier mon rapport </t>
  </si>
  <si>
    <t>J'ai continué les modifications de M. Melly</t>
  </si>
  <si>
    <t>J'ai presque terminé il me manque les tests manuels fait sur le serveur de staging</t>
  </si>
  <si>
    <t>Modification du rapport</t>
  </si>
  <si>
    <t xml:space="preserve">Je suis entrain de faire mes tests manuels </t>
  </si>
  <si>
    <t>J'ai continué de modifier mon rapport</t>
  </si>
  <si>
    <t>Fix gestion d'erreur script</t>
  </si>
  <si>
    <t>J'ai rmarqué un bug ou le script essayais de d'envoyer la meme campagne en boucle</t>
  </si>
  <si>
    <t xml:space="preserve">J'ai terminé de fix le problème si j'ai pris beaucoup de temps c'est parce que j'ai voulu m'aidé de l'IA pour le reglé rapidement mais au final elle me donnait que des choses fausse donc j'en ai eu marre et j'ai corrigé le bug moi-même (que ca me serve de leçon) et au final c'est juste qu'il traitait les lecteur plusieur fois même si l'envoi avait échoué ducoup j'ai rajouté un champ en db pour évité qu'il soit repris en compte </t>
  </si>
  <si>
    <t>J'ai continué mon rapport là je vais faire le première version de la comparaison du temps plannifié et effectué</t>
  </si>
  <si>
    <t>Journal de travail</t>
  </si>
  <si>
    <t>Rapport Plannification</t>
  </si>
  <si>
    <t>J'ai fait quelque ajustement au niveau de la page d'inscription et j'ai aussi fait la page de politique de confidentialité (fait par IA)</t>
  </si>
  <si>
    <t xml:space="preserve">J'ai essayé d'améliorer la vidéo </t>
  </si>
  <si>
    <t xml:space="preserve">Modification détails d'une campagne </t>
  </si>
  <si>
    <t>Suite à plusieurs demandes de M. j'ai commencé à modifier l'app</t>
  </si>
  <si>
    <t>Correction système de suppression</t>
  </si>
  <si>
    <t>J'ai commencé à modifier le système de suppression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</si>
</sst>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8" x14ac:knownFonts="1">
    <font>
      <sz val="10"/>
      <name val="Century Gothic"/>
      <family val="2"/>
      <scheme val="minor"/>
    </font>
    <font>
      <u/>
      <sz val="10"/>
      <color indexed="12"/>
      <name val="Arial"/>
      <family val="2"/>
    </font>
    <font>
      <sz val="11"/>
      <name val="Century Gothic"/>
      <family val="2"/>
    </font>
    <font>
      <sz val="10"/>
      <name val="Century Gothic"/>
      <family val="2"/>
    </font>
    <font>
      <b/>
      <sz val="12"/>
      <name val="Century Gothic"/>
      <family val="2"/>
    </font>
    <font>
      <b/>
      <sz val="10"/>
      <name val="Century Gothic"/>
      <family val="2"/>
    </font>
    <font>
      <u/>
      <sz val="10"/>
      <color theme="10"/>
      <name val="Century Gothic"/>
      <family val="2"/>
      <scheme val="minor"/>
    </font>
    <font>
      <sz val="12"/>
      <color rgb="FF001D35"/>
      <name val="Arial"/>
      <family val="2"/>
    </font>
  </fonts>
  <fills count="4">
    <fill>
      <patternFill patternType="none"/>
    </fill>
    <fill>
      <patternFill patternType="gray125"/>
    </fill>
    <fill>
      <patternFill patternType="solid">
        <fgColor theme="3" tint="0.39997558519241921"/>
        <bgColor indexed="64"/>
      </patternFill>
    </fill>
    <fill>
      <patternFill patternType="solid">
        <fgColor theme="4" tint="0.79998168889431442"/>
        <bgColor indexed="64"/>
      </patternFill>
    </fill>
  </fills>
  <borders count="12">
    <border>
      <left/>
      <right/>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dashed">
        <color indexed="64"/>
      </bottom>
      <diagonal/>
    </border>
    <border>
      <left style="medium">
        <color indexed="64"/>
      </left>
      <right style="medium">
        <color indexed="64"/>
      </right>
      <top/>
      <bottom/>
      <diagonal/>
    </border>
  </borders>
  <cellStyleXfs count="3">
    <xf numFmtId="0" fontId="0" fillId="0" borderId="0"/>
    <xf numFmtId="0" fontId="1" fillId="0" borderId="0" applyNumberFormat="0" applyFill="0" applyBorder="0" applyAlignment="0" applyProtection="0">
      <alignment vertical="top"/>
      <protection locked="0"/>
    </xf>
    <xf numFmtId="0" fontId="6" fillId="0" borderId="0" applyNumberFormat="0" applyFill="0" applyBorder="0" applyAlignment="0" applyProtection="0"/>
  </cellStyleXfs>
  <cellXfs count="49">
    <xf numFmtId="0" fontId="0" fillId="0" borderId="0" xfId="0"/>
    <xf numFmtId="0" fontId="3" fillId="0" borderId="0" xfId="0" applyFont="1" applyAlignment="1">
      <alignment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1"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0" borderId="2" xfId="1" applyFont="1" applyFill="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2" xfId="0" applyFont="1" applyBorder="1" applyAlignment="1" applyProtection="1">
      <alignment horizontal="left" vertical="center" wrapText="1"/>
      <protection locked="0"/>
    </xf>
    <xf numFmtId="0" fontId="3" fillId="0" borderId="9" xfId="0" applyFont="1" applyBorder="1" applyAlignment="1" applyProtection="1">
      <alignment horizontal="center" vertical="center" wrapText="1"/>
      <protection locked="0"/>
    </xf>
    <xf numFmtId="0" fontId="3" fillId="0" borderId="9" xfId="0" applyFont="1" applyBorder="1" applyAlignment="1" applyProtection="1">
      <alignment horizontal="left" vertical="center" wrapText="1"/>
      <protection locked="0"/>
    </xf>
    <xf numFmtId="0" fontId="5" fillId="3" borderId="5" xfId="0" applyFont="1" applyFill="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0" xfId="0" applyFont="1" applyBorder="1" applyAlignment="1" applyProtection="1">
      <alignment horizontal="left" vertical="center" wrapText="1"/>
      <protection locked="0"/>
    </xf>
    <xf numFmtId="0" fontId="4" fillId="2" borderId="6"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5" fillId="0" borderId="0" xfId="0" applyFont="1" applyAlignment="1">
      <alignment vertical="center"/>
    </xf>
    <xf numFmtId="0" fontId="2" fillId="0" borderId="6" xfId="0" applyFont="1" applyBorder="1" applyAlignment="1">
      <alignment horizontal="left" vertical="center" wrapText="1" indent="1"/>
    </xf>
    <xf numFmtId="0" fontId="2" fillId="0" borderId="6" xfId="0" applyFont="1" applyBorder="1" applyAlignment="1">
      <alignment horizontal="left" vertical="center" indent="1"/>
    </xf>
    <xf numFmtId="0" fontId="4" fillId="3" borderId="6" xfId="0" applyFont="1" applyFill="1" applyBorder="1" applyAlignment="1">
      <alignment horizontal="left" vertical="center" wrapText="1" indent="1"/>
    </xf>
    <xf numFmtId="0" fontId="4" fillId="3" borderId="6" xfId="0" applyFont="1" applyFill="1" applyBorder="1" applyAlignment="1">
      <alignment horizontal="left" vertical="center" indent="1"/>
    </xf>
    <xf numFmtId="0" fontId="6" fillId="0" borderId="1" xfId="2" applyBorder="1" applyAlignment="1" applyProtection="1">
      <alignment horizontal="center" vertical="center" wrapText="1"/>
      <protection locked="0"/>
    </xf>
    <xf numFmtId="20" fontId="3" fillId="0" borderId="0" xfId="0" applyNumberFormat="1" applyFont="1" applyAlignment="1">
      <alignment vertical="center"/>
    </xf>
    <xf numFmtId="0" fontId="7" fillId="0" borderId="0" xfId="0" applyFont="1"/>
    <xf numFmtId="20" fontId="0" fillId="0" borderId="0" xfId="0" applyNumberFormat="1"/>
    <xf numFmtId="0" fontId="1" fillId="0" borderId="2" xfId="1" applyBorder="1" applyAlignment="1" applyProtection="1">
      <alignment horizontal="center" vertical="center" wrapText="1"/>
      <protection locked="0"/>
    </xf>
    <xf numFmtId="0" fontId="3" fillId="0" borderId="9" xfId="1" applyFont="1" applyFill="1" applyBorder="1" applyAlignment="1" applyProtection="1">
      <alignment horizontal="center" vertical="center" wrapText="1"/>
      <protection locked="0"/>
    </xf>
    <xf numFmtId="20" fontId="3" fillId="0" borderId="9" xfId="0" applyNumberFormat="1" applyFont="1" applyBorder="1" applyAlignment="1" applyProtection="1">
      <alignment horizontal="center" vertical="center" wrapText="1"/>
      <protection locked="0"/>
    </xf>
    <xf numFmtId="20" fontId="3" fillId="0" borderId="9" xfId="0" applyNumberFormat="1" applyFont="1" applyBorder="1" applyAlignment="1" applyProtection="1">
      <alignment horizontal="left" vertical="center" wrapText="1"/>
      <protection locked="0"/>
    </xf>
    <xf numFmtId="20" fontId="3" fillId="0" borderId="2" xfId="0" applyNumberFormat="1" applyFont="1" applyBorder="1" applyAlignment="1" applyProtection="1">
      <alignment horizontal="center" vertical="center" wrapText="1"/>
      <protection locked="0"/>
    </xf>
    <xf numFmtId="20" fontId="3" fillId="0" borderId="2" xfId="0" applyNumberFormat="1" applyFont="1" applyBorder="1" applyAlignment="1" applyProtection="1">
      <alignment horizontal="left" vertical="center" wrapText="1"/>
      <protection locked="0"/>
    </xf>
    <xf numFmtId="0" fontId="3" fillId="0" borderId="0" xfId="0" applyFont="1" applyAlignment="1">
      <alignment vertical="center" wrapText="1"/>
    </xf>
    <xf numFmtId="164" fontId="3" fillId="0" borderId="0" xfId="0" applyNumberFormat="1" applyFont="1" applyAlignment="1">
      <alignment vertical="center"/>
    </xf>
    <xf numFmtId="0" fontId="3" fillId="0" borderId="0" xfId="0" applyFont="1" applyAlignment="1">
      <alignment horizontal="right" vertical="center"/>
    </xf>
    <xf numFmtId="0" fontId="3" fillId="3" borderId="5" xfId="0" applyFont="1" applyFill="1" applyBorder="1" applyAlignment="1" applyProtection="1">
      <alignment vertical="center" wrapText="1"/>
      <protection locked="0"/>
    </xf>
    <xf numFmtId="0" fontId="3" fillId="3" borderId="3" xfId="0" applyFont="1" applyFill="1" applyBorder="1" applyAlignment="1" applyProtection="1">
      <alignment vertical="center" wrapText="1"/>
      <protection locked="0"/>
    </xf>
    <xf numFmtId="0" fontId="3" fillId="3" borderId="4" xfId="0" applyFont="1" applyFill="1" applyBorder="1" applyAlignment="1" applyProtection="1">
      <alignment vertical="center" wrapText="1"/>
      <protection locked="0"/>
    </xf>
    <xf numFmtId="0" fontId="4" fillId="2" borderId="5" xfId="0" applyFont="1" applyFill="1" applyBorder="1" applyAlignment="1">
      <alignment horizontal="right" vertical="center" wrapText="1"/>
    </xf>
    <xf numFmtId="0" fontId="4" fillId="2" borderId="4" xfId="0" applyFont="1" applyFill="1" applyBorder="1" applyAlignment="1">
      <alignment horizontal="right" vertical="center" wrapText="1"/>
    </xf>
    <xf numFmtId="14" fontId="3" fillId="0" borderId="7" xfId="0" applyNumberFormat="1"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2" fillId="0" borderId="6" xfId="0" applyFont="1" applyBorder="1" applyAlignment="1">
      <alignment horizontal="left" vertical="center" wrapText="1" indent="1"/>
    </xf>
    <xf numFmtId="0" fontId="2" fillId="0" borderId="5"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xf numFmtId="20" fontId="3" fillId="0" borderId="0" xfId="0" applyNumberFormat="1" applyFont="1" applyAlignment="1">
      <alignment horizontal="right" vertical="center"/>
    </xf>
  </cellXfs>
  <cellStyles count="3">
    <cellStyle name="Hyperlink" xfId="2" xr:uid="{00000000-000B-0000-0000-000008000000}"/>
    <cellStyle name="Lien hypertexte" xfId="1" builtinId="8"/>
    <cellStyle name="Normal" xfId="0" builtinId="0" customBuiltin="1"/>
  </cellStyles>
  <dxfs count="0"/>
  <tableStyles count="0" defaultTableStyle="TableStyleMedium9" defaultPivotStyle="PivotStyleLight16"/>
  <colors>
    <mruColors>
      <color rgb="FFFFFFCC"/>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usti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ustin">
      <a:maj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Austin">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prstMaterial="metal">
            <a:bevelT w="101600" h="25400" prst="softRound"/>
            <a:contourClr>
              <a:schemeClr val="phClr">
                <a:shade val="30000"/>
              </a:schemeClr>
            </a:contourClr>
          </a:sp3d>
        </a:effectStyle>
      </a:effectStyleLst>
      <a:bgFillStyleLst>
        <a:solidFill>
          <a:schemeClr val="phClr"/>
        </a:solidFill>
        <a:gradFill rotWithShape="1">
          <a:gsLst>
            <a:gs pos="0">
              <a:schemeClr val="phClr">
                <a:shade val="94000"/>
                <a:satMod val="114000"/>
                <a:lumMod val="96000"/>
              </a:schemeClr>
            </a:gs>
            <a:gs pos="62000">
              <a:schemeClr val="phClr">
                <a:tint val="92000"/>
                <a:shade val="66000"/>
                <a:satMod val="110000"/>
                <a:lumMod val="80000"/>
              </a:schemeClr>
            </a:gs>
            <a:gs pos="100000">
              <a:schemeClr val="phClr">
                <a:tint val="89000"/>
                <a:shade val="62000"/>
                <a:satMod val="110000"/>
                <a:lumMod val="72000"/>
              </a:schemeClr>
            </a:gs>
          </a:gsLst>
          <a:lin ang="5400000" scaled="0"/>
        </a:gradFill>
        <a:blipFill rotWithShape="1">
          <a:blip xmlns:r="http://schemas.openxmlformats.org/officeDocument/2006/relationships" r:embed="rId1">
            <a:duotone>
              <a:schemeClr val="phClr">
                <a:tint val="80000"/>
                <a:shade val="58000"/>
              </a:schemeClr>
              <a:schemeClr val="phClr">
                <a:tint val="73000"/>
                <a:shade val="68000"/>
                <a:satMod val="15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eka.ch/themes/ressources-humaines/contrats-de-travail-et-reglements/protection-des-donnees/article/donnees-rh-quels-sont-les-delais-de-conservation-des-donnees-des-collaborateu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9B11-3078-4C32-9318-C5231A58CF27}">
  <sheetPr>
    <pageSetUpPr fitToPage="1"/>
  </sheetPr>
  <dimension ref="A1:G180"/>
  <sheetViews>
    <sheetView tabSelected="1" view="pageBreakPreview" zoomScaleNormal="100" zoomScaleSheetLayoutView="100" workbookViewId="0">
      <pane xSplit="3" ySplit="5" topLeftCell="D132" activePane="bottomRight" state="frozen"/>
      <selection pane="topRight" activeCell="D1" sqref="D1"/>
      <selection pane="bottomLeft" activeCell="A2" sqref="A2"/>
      <selection pane="bottomRight" activeCell="D145" sqref="D145"/>
    </sheetView>
  </sheetViews>
  <sheetFormatPr baseColWidth="10" defaultColWidth="11.42578125" defaultRowHeight="13.5" x14ac:dyDescent="0.25"/>
  <cols>
    <col min="1" max="1" width="26.7109375" style="1" customWidth="1"/>
    <col min="2" max="3" width="14.7109375" style="1" customWidth="1"/>
    <col min="4" max="4" width="80.7109375" style="1" customWidth="1"/>
    <col min="5" max="5" width="50.7109375" style="1" customWidth="1"/>
    <col min="6" max="6" width="19.5703125" style="1" customWidth="1"/>
    <col min="7" max="7" width="36" style="1" customWidth="1"/>
    <col min="8" max="16384" width="11.42578125" style="1"/>
  </cols>
  <sheetData>
    <row r="1" spans="1:7" ht="21" customHeight="1" x14ac:dyDescent="0.25">
      <c r="A1" s="21" t="s">
        <v>0</v>
      </c>
      <c r="B1" s="44" t="s">
        <v>15</v>
      </c>
      <c r="C1" s="44"/>
      <c r="D1" s="22" t="s">
        <v>1</v>
      </c>
      <c r="E1" s="20" t="s">
        <v>33</v>
      </c>
    </row>
    <row r="2" spans="1:7" ht="21" customHeight="1" thickBot="1" x14ac:dyDescent="0.3">
      <c r="A2" s="21" t="s">
        <v>2</v>
      </c>
      <c r="B2" s="44" t="s">
        <v>16</v>
      </c>
      <c r="C2" s="44"/>
      <c r="D2" s="22" t="s">
        <v>3</v>
      </c>
      <c r="E2" s="20" t="s">
        <v>34</v>
      </c>
    </row>
    <row r="3" spans="1:7" ht="21" customHeight="1" x14ac:dyDescent="0.25">
      <c r="A3" s="21" t="s">
        <v>4</v>
      </c>
      <c r="B3" s="44" t="s">
        <v>17</v>
      </c>
      <c r="C3" s="44"/>
      <c r="D3" s="22" t="s">
        <v>5</v>
      </c>
      <c r="E3" s="19" t="s">
        <v>35</v>
      </c>
    </row>
    <row r="4" spans="1:7" ht="21" customHeight="1" x14ac:dyDescent="0.25">
      <c r="A4" s="21" t="s">
        <v>6</v>
      </c>
      <c r="B4" s="45" t="s">
        <v>36</v>
      </c>
      <c r="C4" s="46"/>
      <c r="D4" s="46"/>
      <c r="E4" s="47"/>
    </row>
    <row r="5" spans="1:7" ht="21" customHeight="1" thickBot="1" x14ac:dyDescent="0.3">
      <c r="A5" s="2" t="s">
        <v>7</v>
      </c>
      <c r="B5" s="3" t="s">
        <v>8</v>
      </c>
      <c r="C5" s="3" t="s">
        <v>9</v>
      </c>
      <c r="D5" s="2" t="s">
        <v>10</v>
      </c>
      <c r="E5" s="2" t="s">
        <v>11</v>
      </c>
    </row>
    <row r="6" spans="1:7" ht="18" customHeight="1" x14ac:dyDescent="0.25">
      <c r="A6" s="4" t="s">
        <v>18</v>
      </c>
      <c r="B6" s="41">
        <v>46139</v>
      </c>
      <c r="C6" s="5">
        <v>20</v>
      </c>
      <c r="D6" s="6"/>
      <c r="E6" s="23"/>
    </row>
    <row r="7" spans="1:7" ht="18" customHeight="1" x14ac:dyDescent="0.25">
      <c r="A7" s="7" t="s">
        <v>19</v>
      </c>
      <c r="B7" s="42"/>
      <c r="C7" s="8">
        <v>30</v>
      </c>
      <c r="D7" s="9" t="s">
        <v>37</v>
      </c>
      <c r="E7" s="8"/>
    </row>
    <row r="8" spans="1:7" ht="18" customHeight="1" x14ac:dyDescent="0.25">
      <c r="A8" s="7" t="s">
        <v>20</v>
      </c>
      <c r="B8" s="42"/>
      <c r="C8" s="8">
        <v>30</v>
      </c>
      <c r="D8" s="9"/>
      <c r="E8" s="8" t="s">
        <v>41</v>
      </c>
    </row>
    <row r="9" spans="1:7" ht="18" customHeight="1" x14ac:dyDescent="0.25">
      <c r="A9" s="7" t="s">
        <v>20</v>
      </c>
      <c r="B9" s="42"/>
      <c r="C9" s="8">
        <v>10</v>
      </c>
      <c r="D9" s="9"/>
      <c r="E9" s="8"/>
    </row>
    <row r="10" spans="1:7" ht="18" customHeight="1" x14ac:dyDescent="0.25">
      <c r="A10" s="7" t="s">
        <v>20</v>
      </c>
      <c r="B10" s="42"/>
      <c r="C10" s="10">
        <v>20</v>
      </c>
      <c r="D10" s="11"/>
      <c r="E10" s="10"/>
      <c r="F10" s="24"/>
      <c r="G10" s="24"/>
    </row>
    <row r="11" spans="1:7" ht="18" customHeight="1" x14ac:dyDescent="0.25">
      <c r="A11" s="7" t="s">
        <v>20</v>
      </c>
      <c r="B11" s="42"/>
      <c r="C11" s="10">
        <v>20</v>
      </c>
      <c r="D11" s="11" t="s">
        <v>39</v>
      </c>
      <c r="E11" s="10"/>
      <c r="F11" s="24"/>
      <c r="G11" s="24"/>
    </row>
    <row r="12" spans="1:7" x14ac:dyDescent="0.25">
      <c r="A12" s="7" t="s">
        <v>38</v>
      </c>
      <c r="B12" s="42"/>
      <c r="C12" s="10">
        <v>60</v>
      </c>
      <c r="D12" s="11" t="s">
        <v>40</v>
      </c>
      <c r="E12" s="10"/>
      <c r="F12" s="24"/>
      <c r="G12" s="24"/>
    </row>
    <row r="13" spans="1:7" ht="40.5" x14ac:dyDescent="0.25">
      <c r="A13" s="7" t="s">
        <v>43</v>
      </c>
      <c r="B13" s="42"/>
      <c r="C13" s="10">
        <v>10</v>
      </c>
      <c r="D13" s="11" t="s">
        <v>44</v>
      </c>
      <c r="E13" s="10"/>
      <c r="F13" s="24"/>
      <c r="G13" s="24"/>
    </row>
    <row r="14" spans="1:7" ht="27" x14ac:dyDescent="0.25">
      <c r="A14" s="7" t="s">
        <v>45</v>
      </c>
      <c r="B14" s="42"/>
      <c r="C14" s="10">
        <v>60</v>
      </c>
      <c r="D14" s="11" t="s">
        <v>46</v>
      </c>
      <c r="E14" s="10"/>
      <c r="F14" s="24"/>
      <c r="G14" s="24"/>
    </row>
    <row r="15" spans="1:7" ht="40.5" x14ac:dyDescent="0.25">
      <c r="A15" s="7" t="s">
        <v>38</v>
      </c>
      <c r="B15" s="42"/>
      <c r="C15" s="10">
        <v>45</v>
      </c>
      <c r="D15" s="11" t="s">
        <v>42</v>
      </c>
      <c r="E15" s="10"/>
      <c r="F15" s="24"/>
      <c r="G15" s="24"/>
    </row>
    <row r="16" spans="1:7" x14ac:dyDescent="0.25">
      <c r="A16" s="7" t="s">
        <v>45</v>
      </c>
      <c r="B16" s="42"/>
      <c r="C16" s="10">
        <v>20</v>
      </c>
      <c r="D16" s="11" t="s">
        <v>47</v>
      </c>
      <c r="E16" s="10"/>
      <c r="F16" s="24"/>
      <c r="G16" s="24"/>
    </row>
    <row r="17" spans="1:7" ht="14.25" thickBot="1" x14ac:dyDescent="0.3">
      <c r="A17" s="7"/>
      <c r="B17" s="43"/>
      <c r="C17" s="10"/>
      <c r="D17" s="11"/>
      <c r="E17" s="10"/>
    </row>
    <row r="18" spans="1:7" ht="18" customHeight="1" thickBot="1" x14ac:dyDescent="0.3">
      <c r="A18" s="12" t="s">
        <v>12</v>
      </c>
      <c r="B18" s="36" t="str">
        <f>INT(SUM(C6:C17)/60)&amp;"h"&amp;MOD(SUM(C6:C17),60)</f>
        <v>5h25</v>
      </c>
      <c r="C18" s="37"/>
      <c r="D18" s="37"/>
      <c r="E18" s="38"/>
    </row>
    <row r="19" spans="1:7" ht="18" customHeight="1" x14ac:dyDescent="0.25">
      <c r="A19" s="4" t="s">
        <v>20</v>
      </c>
      <c r="B19" s="41">
        <v>46141</v>
      </c>
      <c r="C19" s="5">
        <v>40</v>
      </c>
      <c r="D19" s="6" t="s">
        <v>48</v>
      </c>
      <c r="E19" s="5"/>
    </row>
    <row r="20" spans="1:7" ht="27" x14ac:dyDescent="0.25">
      <c r="A20" s="7" t="s">
        <v>45</v>
      </c>
      <c r="B20" s="42"/>
      <c r="C20" s="8">
        <v>55</v>
      </c>
      <c r="D20" s="9" t="s">
        <v>49</v>
      </c>
      <c r="E20" s="8"/>
    </row>
    <row r="21" spans="1:7" ht="18" customHeight="1" x14ac:dyDescent="0.2">
      <c r="A21" s="7" t="s">
        <v>45</v>
      </c>
      <c r="B21" s="42"/>
      <c r="C21" s="8">
        <v>40</v>
      </c>
      <c r="D21" s="9" t="s">
        <v>50</v>
      </c>
      <c r="E21" s="8"/>
      <c r="G21" s="25"/>
    </row>
    <row r="22" spans="1:7" ht="18" customHeight="1" x14ac:dyDescent="0.25">
      <c r="A22" s="7" t="s">
        <v>45</v>
      </c>
      <c r="B22" s="42"/>
      <c r="C22" s="8">
        <v>45</v>
      </c>
      <c r="D22" s="9" t="s">
        <v>51</v>
      </c>
      <c r="E22" s="8"/>
    </row>
    <row r="23" spans="1:7" ht="27" x14ac:dyDescent="0.25">
      <c r="A23" s="10" t="s">
        <v>52</v>
      </c>
      <c r="B23" s="42"/>
      <c r="C23" s="10">
        <v>60</v>
      </c>
      <c r="D23" s="11" t="s">
        <v>53</v>
      </c>
      <c r="E23" s="10"/>
    </row>
    <row r="24" spans="1:7" x14ac:dyDescent="0.25">
      <c r="A24" s="10" t="s">
        <v>52</v>
      </c>
      <c r="B24" s="42"/>
      <c r="C24" s="10">
        <v>60</v>
      </c>
      <c r="D24" s="11" t="s">
        <v>54</v>
      </c>
      <c r="E24" s="10"/>
    </row>
    <row r="25" spans="1:7" ht="40.5" x14ac:dyDescent="0.25">
      <c r="A25" s="10" t="s">
        <v>52</v>
      </c>
      <c r="B25" s="42"/>
      <c r="C25" s="10">
        <v>30</v>
      </c>
      <c r="D25" s="11" t="s">
        <v>55</v>
      </c>
      <c r="E25" s="10"/>
    </row>
    <row r="26" spans="1:7" x14ac:dyDescent="0.25">
      <c r="A26" s="10" t="s">
        <v>56</v>
      </c>
      <c r="B26" s="42"/>
      <c r="C26" s="10">
        <v>60</v>
      </c>
      <c r="D26" s="11" t="s">
        <v>57</v>
      </c>
      <c r="E26" s="10"/>
    </row>
    <row r="27" spans="1:7" ht="27.75" thickBot="1" x14ac:dyDescent="0.3">
      <c r="A27" s="10" t="s">
        <v>58</v>
      </c>
      <c r="B27" s="43"/>
      <c r="C27" s="10">
        <v>40</v>
      </c>
      <c r="D27" s="11" t="s">
        <v>188</v>
      </c>
      <c r="E27" s="10"/>
    </row>
    <row r="28" spans="1:7" ht="18" customHeight="1" thickBot="1" x14ac:dyDescent="0.3">
      <c r="A28" s="12" t="s">
        <v>12</v>
      </c>
      <c r="B28" s="36" t="str">
        <f>INT(SUM(C19:C27)/60)&amp;"h"&amp;MOD(SUM(C19:C27),60)</f>
        <v>7h10</v>
      </c>
      <c r="C28" s="37"/>
      <c r="D28" s="37"/>
      <c r="E28" s="38"/>
    </row>
    <row r="29" spans="1:7" ht="18" customHeight="1" x14ac:dyDescent="0.25">
      <c r="A29" s="4" t="s">
        <v>59</v>
      </c>
      <c r="B29" s="41">
        <v>46142</v>
      </c>
      <c r="C29" s="5">
        <v>60</v>
      </c>
      <c r="D29" s="6" t="s">
        <v>60</v>
      </c>
      <c r="E29" s="5"/>
    </row>
    <row r="30" spans="1:7" ht="54" x14ac:dyDescent="0.25">
      <c r="A30" s="7" t="s">
        <v>61</v>
      </c>
      <c r="B30" s="42"/>
      <c r="C30" s="8">
        <v>60</v>
      </c>
      <c r="D30" s="9" t="s">
        <v>62</v>
      </c>
      <c r="E30" s="27" t="s">
        <v>63</v>
      </c>
    </row>
    <row r="31" spans="1:7" ht="27" x14ac:dyDescent="0.25">
      <c r="A31" s="7" t="s">
        <v>38</v>
      </c>
      <c r="B31" s="42"/>
      <c r="C31" s="8">
        <v>70</v>
      </c>
      <c r="D31" s="9" t="s">
        <v>64</v>
      </c>
      <c r="E31" s="8"/>
    </row>
    <row r="32" spans="1:7" ht="18" customHeight="1" x14ac:dyDescent="0.25">
      <c r="A32" s="7"/>
      <c r="B32" s="42"/>
      <c r="C32" s="8"/>
      <c r="D32" s="9"/>
      <c r="E32" s="8"/>
    </row>
    <row r="33" spans="1:5" ht="18" customHeight="1" thickBot="1" x14ac:dyDescent="0.3">
      <c r="A33" s="10"/>
      <c r="B33" s="43"/>
      <c r="C33" s="10"/>
      <c r="D33" s="11"/>
      <c r="E33" s="10"/>
    </row>
    <row r="34" spans="1:5" ht="18" customHeight="1" thickBot="1" x14ac:dyDescent="0.3">
      <c r="A34" s="12" t="s">
        <v>12</v>
      </c>
      <c r="B34" s="36" t="str">
        <f>INT(SUM(C29:C33)/60)&amp;"h"&amp;MOD(SUM(C29:C33),60)</f>
        <v>3h10</v>
      </c>
      <c r="C34" s="37"/>
      <c r="D34" s="37"/>
      <c r="E34" s="38"/>
    </row>
    <row r="35" spans="1:5" ht="40.5" x14ac:dyDescent="0.25">
      <c r="A35" s="4" t="s">
        <v>38</v>
      </c>
      <c r="B35" s="41">
        <v>46143</v>
      </c>
      <c r="C35" s="5">
        <v>60</v>
      </c>
      <c r="D35" s="6" t="s">
        <v>65</v>
      </c>
      <c r="E35" s="5"/>
    </row>
    <row r="36" spans="1:5" ht="18" customHeight="1" x14ac:dyDescent="0.25">
      <c r="A36" s="7" t="s">
        <v>38</v>
      </c>
      <c r="B36" s="42"/>
      <c r="C36" s="8">
        <v>35</v>
      </c>
      <c r="D36" s="9" t="s">
        <v>66</v>
      </c>
      <c r="E36" s="8"/>
    </row>
    <row r="37" spans="1:5" ht="18" customHeight="1" x14ac:dyDescent="0.25">
      <c r="A37" s="7" t="s">
        <v>38</v>
      </c>
      <c r="B37" s="42"/>
      <c r="C37" s="8">
        <v>60</v>
      </c>
      <c r="D37" s="9" t="s">
        <v>67</v>
      </c>
      <c r="E37" s="8"/>
    </row>
    <row r="38" spans="1:5" ht="27" x14ac:dyDescent="0.25">
      <c r="A38" s="7" t="s">
        <v>38</v>
      </c>
      <c r="B38" s="42"/>
      <c r="C38" s="8">
        <v>30</v>
      </c>
      <c r="D38" s="9" t="s">
        <v>68</v>
      </c>
      <c r="E38" s="8"/>
    </row>
    <row r="39" spans="1:5" x14ac:dyDescent="0.25">
      <c r="A39" s="28" t="s">
        <v>69</v>
      </c>
      <c r="B39" s="42"/>
      <c r="C39" s="10">
        <v>35</v>
      </c>
      <c r="D39" s="11" t="s">
        <v>70</v>
      </c>
      <c r="E39" s="10"/>
    </row>
    <row r="40" spans="1:5" x14ac:dyDescent="0.25">
      <c r="A40" s="10" t="s">
        <v>71</v>
      </c>
      <c r="B40" s="42"/>
      <c r="C40" s="10">
        <v>20</v>
      </c>
      <c r="D40" s="11" t="s">
        <v>72</v>
      </c>
      <c r="E40" s="10"/>
    </row>
    <row r="41" spans="1:5" x14ac:dyDescent="0.25">
      <c r="A41" s="10" t="s">
        <v>71</v>
      </c>
      <c r="B41" s="42"/>
      <c r="C41" s="10">
        <v>50</v>
      </c>
      <c r="D41" s="11" t="s">
        <v>73</v>
      </c>
      <c r="E41" s="10"/>
    </row>
    <row r="42" spans="1:5" x14ac:dyDescent="0.25">
      <c r="A42" s="10" t="s">
        <v>71</v>
      </c>
      <c r="B42" s="42"/>
      <c r="C42" s="10">
        <v>45</v>
      </c>
      <c r="D42" s="11" t="s">
        <v>74</v>
      </c>
      <c r="E42" s="10"/>
    </row>
    <row r="43" spans="1:5" ht="40.5" x14ac:dyDescent="0.25">
      <c r="A43" s="10" t="s">
        <v>75</v>
      </c>
      <c r="B43" s="42"/>
      <c r="C43" s="10">
        <v>60</v>
      </c>
      <c r="D43" s="11" t="s">
        <v>76</v>
      </c>
      <c r="E43" s="29"/>
    </row>
    <row r="44" spans="1:5" ht="18" customHeight="1" thickBot="1" x14ac:dyDescent="0.3">
      <c r="A44" s="10" t="s">
        <v>75</v>
      </c>
      <c r="B44" s="43"/>
      <c r="C44" s="10">
        <v>35</v>
      </c>
      <c r="D44" s="30" t="s">
        <v>77</v>
      </c>
      <c r="E44" s="29"/>
    </row>
    <row r="45" spans="1:5" ht="18" customHeight="1" thickBot="1" x14ac:dyDescent="0.3">
      <c r="A45" s="12" t="s">
        <v>12</v>
      </c>
      <c r="B45" s="36" t="str">
        <f>INT(SUM(C35:C44)/60)&amp;"h"&amp;MOD(SUM(C35:C44),60)</f>
        <v>7h10</v>
      </c>
      <c r="C45" s="37"/>
      <c r="D45" s="37"/>
      <c r="E45" s="38"/>
    </row>
    <row r="46" spans="1:5" ht="18" customHeight="1" x14ac:dyDescent="0.25">
      <c r="A46" s="13" t="s">
        <v>75</v>
      </c>
      <c r="B46" s="41">
        <v>46146</v>
      </c>
      <c r="C46" s="13">
        <v>50</v>
      </c>
      <c r="D46" s="14" t="s">
        <v>78</v>
      </c>
      <c r="E46" s="13"/>
    </row>
    <row r="47" spans="1:5" ht="27" x14ac:dyDescent="0.25">
      <c r="A47" s="8" t="s">
        <v>75</v>
      </c>
      <c r="B47" s="42"/>
      <c r="C47" s="8">
        <v>45</v>
      </c>
      <c r="D47" s="9" t="s">
        <v>79</v>
      </c>
      <c r="E47" s="31"/>
    </row>
    <row r="48" spans="1:5" ht="18" customHeight="1" x14ac:dyDescent="0.25">
      <c r="A48" s="8" t="s">
        <v>38</v>
      </c>
      <c r="B48" s="42"/>
      <c r="C48" s="8">
        <v>60</v>
      </c>
      <c r="D48" s="9" t="s">
        <v>80</v>
      </c>
      <c r="E48" s="31"/>
    </row>
    <row r="49" spans="1:5" ht="18" customHeight="1" x14ac:dyDescent="0.25">
      <c r="A49" s="8" t="s">
        <v>38</v>
      </c>
      <c r="B49" s="42"/>
      <c r="C49" s="8">
        <v>35</v>
      </c>
      <c r="D49" s="9" t="s">
        <v>81</v>
      </c>
      <c r="E49" s="31"/>
    </row>
    <row r="50" spans="1:5" ht="27" x14ac:dyDescent="0.25">
      <c r="A50" s="8" t="s">
        <v>82</v>
      </c>
      <c r="B50" s="42"/>
      <c r="C50" s="8">
        <v>60</v>
      </c>
      <c r="D50" s="9" t="s">
        <v>83</v>
      </c>
      <c r="E50" s="31"/>
    </row>
    <row r="51" spans="1:5" ht="27" x14ac:dyDescent="0.25">
      <c r="A51" s="8" t="s">
        <v>82</v>
      </c>
      <c r="B51" s="42"/>
      <c r="C51" s="8">
        <v>20</v>
      </c>
      <c r="D51" s="9" t="s">
        <v>84</v>
      </c>
      <c r="E51" s="31"/>
    </row>
    <row r="52" spans="1:5" ht="108" x14ac:dyDescent="0.25">
      <c r="A52" s="8" t="s">
        <v>85</v>
      </c>
      <c r="B52" s="42"/>
      <c r="C52" s="8">
        <v>55</v>
      </c>
      <c r="D52" s="9" t="s">
        <v>86</v>
      </c>
      <c r="E52" s="31"/>
    </row>
    <row r="53" spans="1:5" ht="18" customHeight="1" thickBot="1" x14ac:dyDescent="0.3">
      <c r="A53" s="8"/>
      <c r="B53" s="43"/>
      <c r="C53" s="8"/>
      <c r="D53" s="32"/>
      <c r="E53" s="31"/>
    </row>
    <row r="54" spans="1:5" ht="18" customHeight="1" thickBot="1" x14ac:dyDescent="0.3">
      <c r="A54" s="12" t="s">
        <v>12</v>
      </c>
      <c r="B54" s="36" t="str">
        <f>INT(SUM(C46:C53)/60)&amp;"h"&amp;MOD(SUM(C46:C53),60)</f>
        <v>5h25</v>
      </c>
      <c r="C54" s="37"/>
      <c r="D54" s="37"/>
      <c r="E54" s="38"/>
    </row>
    <row r="55" spans="1:5" ht="18" customHeight="1" x14ac:dyDescent="0.25">
      <c r="A55" s="4" t="s">
        <v>87</v>
      </c>
      <c r="B55" s="41">
        <v>46148</v>
      </c>
      <c r="C55" s="5">
        <v>60</v>
      </c>
      <c r="D55" s="6" t="s">
        <v>88</v>
      </c>
      <c r="E55" s="5"/>
    </row>
    <row r="56" spans="1:5" ht="18" customHeight="1" x14ac:dyDescent="0.25">
      <c r="A56" s="7" t="s">
        <v>89</v>
      </c>
      <c r="B56" s="42"/>
      <c r="C56" s="8">
        <v>35</v>
      </c>
      <c r="D56" s="9" t="s">
        <v>90</v>
      </c>
      <c r="E56" s="8"/>
    </row>
    <row r="57" spans="1:5" ht="18" customHeight="1" x14ac:dyDescent="0.25">
      <c r="A57" s="7" t="s">
        <v>89</v>
      </c>
      <c r="B57" s="42"/>
      <c r="C57" s="8">
        <v>60</v>
      </c>
      <c r="D57" s="9" t="s">
        <v>91</v>
      </c>
      <c r="E57" s="8"/>
    </row>
    <row r="58" spans="1:5" ht="18" customHeight="1" x14ac:dyDescent="0.25">
      <c r="A58" s="7" t="s">
        <v>92</v>
      </c>
      <c r="B58" s="42"/>
      <c r="C58" s="8">
        <v>60</v>
      </c>
      <c r="D58" s="9" t="s">
        <v>93</v>
      </c>
      <c r="E58" s="8"/>
    </row>
    <row r="59" spans="1:5" ht="18" customHeight="1" x14ac:dyDescent="0.25">
      <c r="A59" s="28" t="s">
        <v>94</v>
      </c>
      <c r="B59" s="42"/>
      <c r="C59" s="10">
        <v>40</v>
      </c>
      <c r="D59" s="11" t="s">
        <v>95</v>
      </c>
      <c r="E59" s="10"/>
    </row>
    <row r="60" spans="1:5" ht="18" customHeight="1" x14ac:dyDescent="0.25">
      <c r="A60" s="28" t="s">
        <v>94</v>
      </c>
      <c r="B60" s="42"/>
      <c r="C60" s="10">
        <v>10</v>
      </c>
      <c r="D60" s="11" t="s">
        <v>96</v>
      </c>
      <c r="E60" s="10"/>
    </row>
    <row r="61" spans="1:5" ht="18" customHeight="1" x14ac:dyDescent="0.25">
      <c r="A61" s="28" t="s">
        <v>97</v>
      </c>
      <c r="B61" s="42"/>
      <c r="C61" s="10">
        <v>20</v>
      </c>
      <c r="D61" s="11" t="s">
        <v>98</v>
      </c>
      <c r="E61" s="10"/>
    </row>
    <row r="62" spans="1:5" ht="18" customHeight="1" x14ac:dyDescent="0.25">
      <c r="A62" s="28" t="s">
        <v>94</v>
      </c>
      <c r="B62" s="42"/>
      <c r="C62" s="10">
        <v>20</v>
      </c>
      <c r="D62" s="11" t="s">
        <v>99</v>
      </c>
      <c r="E62" s="10"/>
    </row>
    <row r="63" spans="1:5" ht="54" x14ac:dyDescent="0.25">
      <c r="A63" s="28" t="s">
        <v>58</v>
      </c>
      <c r="B63" s="42"/>
      <c r="C63" s="10">
        <v>35</v>
      </c>
      <c r="D63" s="11" t="s">
        <v>100</v>
      </c>
      <c r="E63" s="10" t="s">
        <v>101</v>
      </c>
    </row>
    <row r="64" spans="1:5" x14ac:dyDescent="0.25">
      <c r="A64" s="28" t="s">
        <v>187</v>
      </c>
      <c r="B64" s="42"/>
      <c r="C64" s="10">
        <v>45</v>
      </c>
      <c r="D64" s="11" t="s">
        <v>102</v>
      </c>
      <c r="E64" s="10"/>
    </row>
    <row r="65" spans="1:5" ht="27" x14ac:dyDescent="0.25">
      <c r="A65" s="28" t="s">
        <v>187</v>
      </c>
      <c r="B65" s="42"/>
      <c r="C65" s="10">
        <v>45</v>
      </c>
      <c r="D65" s="11" t="s">
        <v>103</v>
      </c>
      <c r="E65" s="10"/>
    </row>
    <row r="66" spans="1:5" ht="18" customHeight="1" thickBot="1" x14ac:dyDescent="0.3">
      <c r="A66" s="10"/>
      <c r="B66" s="43"/>
      <c r="C66" s="10"/>
      <c r="D66" s="11"/>
      <c r="E66" s="10"/>
    </row>
    <row r="67" spans="1:5" ht="18" customHeight="1" thickBot="1" x14ac:dyDescent="0.3">
      <c r="A67" s="12" t="s">
        <v>12</v>
      </c>
      <c r="B67" s="36" t="str">
        <f>INT(SUM(C55:C66)/60)&amp;"h"&amp;MOD(SUM(C55:C66),60)</f>
        <v>7h10</v>
      </c>
      <c r="C67" s="37"/>
      <c r="D67" s="37"/>
      <c r="E67" s="38"/>
    </row>
    <row r="68" spans="1:5" ht="27" x14ac:dyDescent="0.25">
      <c r="A68" s="4" t="s">
        <v>58</v>
      </c>
      <c r="B68" s="41">
        <v>46149</v>
      </c>
      <c r="C68" s="5">
        <v>60</v>
      </c>
      <c r="D68" s="6" t="s">
        <v>104</v>
      </c>
      <c r="E68" s="5"/>
    </row>
    <row r="69" spans="1:5" ht="54" x14ac:dyDescent="0.25">
      <c r="A69" s="7" t="s">
        <v>105</v>
      </c>
      <c r="B69" s="42"/>
      <c r="C69" s="8">
        <v>60</v>
      </c>
      <c r="D69" s="9" t="s">
        <v>106</v>
      </c>
      <c r="E69" s="8"/>
    </row>
    <row r="70" spans="1:5" ht="81" x14ac:dyDescent="0.25">
      <c r="A70" s="7" t="s">
        <v>107</v>
      </c>
      <c r="B70" s="42"/>
      <c r="C70" s="8">
        <v>55</v>
      </c>
      <c r="D70" s="9" t="s">
        <v>108</v>
      </c>
      <c r="E70" s="8"/>
    </row>
    <row r="71" spans="1:5" ht="18" customHeight="1" x14ac:dyDescent="0.25">
      <c r="A71" s="7" t="s">
        <v>38</v>
      </c>
      <c r="B71" s="42"/>
      <c r="C71" s="8">
        <v>15</v>
      </c>
      <c r="D71" s="9" t="s">
        <v>109</v>
      </c>
      <c r="E71" s="8"/>
    </row>
    <row r="72" spans="1:5" ht="18" customHeight="1" thickBot="1" x14ac:dyDescent="0.3">
      <c r="A72" s="10"/>
      <c r="B72" s="43"/>
      <c r="C72" s="10"/>
      <c r="D72" s="11"/>
      <c r="E72" s="10"/>
    </row>
    <row r="73" spans="1:5" ht="18" customHeight="1" thickBot="1" x14ac:dyDescent="0.3">
      <c r="A73" s="12" t="s">
        <v>12</v>
      </c>
      <c r="B73" s="36" t="str">
        <f>INT(SUM(C68:C72)/60)&amp;"h"&amp;MOD(SUM(C68:C72),60)</f>
        <v>3h10</v>
      </c>
      <c r="C73" s="37"/>
      <c r="D73" s="37"/>
      <c r="E73" s="38"/>
    </row>
    <row r="74" spans="1:5" ht="40.5" x14ac:dyDescent="0.25">
      <c r="A74" s="4" t="s">
        <v>92</v>
      </c>
      <c r="B74" s="41">
        <v>46150</v>
      </c>
      <c r="C74" s="5">
        <v>10</v>
      </c>
      <c r="D74" s="6" t="s">
        <v>110</v>
      </c>
      <c r="E74" s="5"/>
    </row>
    <row r="75" spans="1:5" ht="27" x14ac:dyDescent="0.25">
      <c r="A75" s="7" t="s">
        <v>38</v>
      </c>
      <c r="B75" s="42"/>
      <c r="C75" s="8">
        <v>50</v>
      </c>
      <c r="D75" s="9" t="s">
        <v>111</v>
      </c>
      <c r="E75" s="8"/>
    </row>
    <row r="76" spans="1:5" ht="18" customHeight="1" x14ac:dyDescent="0.25">
      <c r="A76" s="7" t="s">
        <v>38</v>
      </c>
      <c r="B76" s="42"/>
      <c r="C76" s="8">
        <v>35</v>
      </c>
      <c r="D76" s="9" t="s">
        <v>112</v>
      </c>
      <c r="E76" s="8"/>
    </row>
    <row r="77" spans="1:5" ht="27" x14ac:dyDescent="0.25">
      <c r="A77" s="7" t="s">
        <v>113</v>
      </c>
      <c r="B77" s="42"/>
      <c r="C77" s="8">
        <v>60</v>
      </c>
      <c r="D77" s="9" t="s">
        <v>114</v>
      </c>
      <c r="E77" s="8"/>
    </row>
    <row r="78" spans="1:5" x14ac:dyDescent="0.25">
      <c r="A78" s="28" t="s">
        <v>113</v>
      </c>
      <c r="B78" s="42"/>
      <c r="C78" s="10">
        <v>60</v>
      </c>
      <c r="D78" s="11" t="s">
        <v>115</v>
      </c>
      <c r="E78" s="10"/>
    </row>
    <row r="79" spans="1:5" x14ac:dyDescent="0.25">
      <c r="A79" s="28" t="s">
        <v>38</v>
      </c>
      <c r="B79" s="42"/>
      <c r="C79" s="10">
        <v>25</v>
      </c>
      <c r="D79" s="11" t="s">
        <v>116</v>
      </c>
      <c r="E79" s="10"/>
    </row>
    <row r="80" spans="1:5" ht="27" x14ac:dyDescent="0.25">
      <c r="A80" s="28" t="s">
        <v>38</v>
      </c>
      <c r="B80" s="42"/>
      <c r="C80" s="10">
        <v>60</v>
      </c>
      <c r="D80" s="11" t="s">
        <v>117</v>
      </c>
      <c r="E80" s="10"/>
    </row>
    <row r="81" spans="1:5" x14ac:dyDescent="0.25">
      <c r="A81" s="28" t="s">
        <v>38</v>
      </c>
      <c r="B81" s="42"/>
      <c r="C81" s="10">
        <v>60</v>
      </c>
      <c r="D81" s="11" t="s">
        <v>112</v>
      </c>
      <c r="E81" s="10"/>
    </row>
    <row r="82" spans="1:5" x14ac:dyDescent="0.25">
      <c r="A82" s="28" t="s">
        <v>38</v>
      </c>
      <c r="B82" s="42"/>
      <c r="C82" s="10">
        <v>60</v>
      </c>
      <c r="D82" s="11" t="s">
        <v>118</v>
      </c>
      <c r="E82" s="10"/>
    </row>
    <row r="83" spans="1:5" ht="18" customHeight="1" thickBot="1" x14ac:dyDescent="0.3">
      <c r="A83" s="10" t="s">
        <v>38</v>
      </c>
      <c r="B83" s="43"/>
      <c r="C83" s="10">
        <v>10</v>
      </c>
      <c r="D83" s="11" t="s">
        <v>118</v>
      </c>
      <c r="E83" s="10"/>
    </row>
    <row r="84" spans="1:5" ht="18" customHeight="1" thickBot="1" x14ac:dyDescent="0.3">
      <c r="A84" s="12" t="s">
        <v>12</v>
      </c>
      <c r="B84" s="36" t="str">
        <f>INT(SUM(C74:C83)/60)&amp;"h"&amp;MOD(SUM(C74:C83),60)</f>
        <v>7h10</v>
      </c>
      <c r="C84" s="37"/>
      <c r="D84" s="37"/>
      <c r="E84" s="38"/>
    </row>
    <row r="85" spans="1:5" ht="18" customHeight="1" x14ac:dyDescent="0.25">
      <c r="A85" s="4" t="s">
        <v>38</v>
      </c>
      <c r="B85" s="41">
        <v>46153</v>
      </c>
      <c r="C85" s="5">
        <v>20</v>
      </c>
      <c r="D85" s="6" t="s">
        <v>119</v>
      </c>
      <c r="E85" s="5"/>
    </row>
    <row r="86" spans="1:5" ht="18" customHeight="1" x14ac:dyDescent="0.25">
      <c r="A86" s="7" t="s">
        <v>120</v>
      </c>
      <c r="B86" s="42"/>
      <c r="C86" s="8">
        <v>40</v>
      </c>
      <c r="D86" s="9" t="s">
        <v>121</v>
      </c>
      <c r="E86" s="8"/>
    </row>
    <row r="87" spans="1:5" ht="18" customHeight="1" x14ac:dyDescent="0.25">
      <c r="A87" s="7" t="s">
        <v>38</v>
      </c>
      <c r="B87" s="42"/>
      <c r="C87" s="8">
        <v>60</v>
      </c>
      <c r="D87" s="9" t="s">
        <v>122</v>
      </c>
      <c r="E87" s="8"/>
    </row>
    <row r="88" spans="1:5" ht="18" customHeight="1" x14ac:dyDescent="0.25">
      <c r="A88" s="7" t="s">
        <v>38</v>
      </c>
      <c r="B88" s="42"/>
      <c r="C88" s="8">
        <v>60</v>
      </c>
      <c r="D88" s="9" t="s">
        <v>112</v>
      </c>
      <c r="E88" s="8"/>
    </row>
    <row r="89" spans="1:5" ht="18" customHeight="1" x14ac:dyDescent="0.25">
      <c r="A89" s="28" t="s">
        <v>38</v>
      </c>
      <c r="B89" s="42"/>
      <c r="C89" s="10">
        <v>15</v>
      </c>
      <c r="D89" s="11" t="s">
        <v>118</v>
      </c>
      <c r="E89" s="10"/>
    </row>
    <row r="90" spans="1:5" ht="18" customHeight="1" x14ac:dyDescent="0.25">
      <c r="A90" s="28" t="s">
        <v>38</v>
      </c>
      <c r="B90" s="42"/>
      <c r="C90" s="10">
        <v>60</v>
      </c>
      <c r="D90" s="11" t="s">
        <v>123</v>
      </c>
      <c r="E90" s="10"/>
    </row>
    <row r="91" spans="1:5" ht="27" x14ac:dyDescent="0.25">
      <c r="A91" s="28" t="s">
        <v>38</v>
      </c>
      <c r="B91" s="42"/>
      <c r="C91" s="10">
        <v>60</v>
      </c>
      <c r="D91" s="11" t="s">
        <v>124</v>
      </c>
      <c r="E91" s="10"/>
    </row>
    <row r="92" spans="1:5" ht="18" customHeight="1" thickBot="1" x14ac:dyDescent="0.3">
      <c r="A92" s="10" t="s">
        <v>38</v>
      </c>
      <c r="B92" s="43"/>
      <c r="C92" s="10">
        <v>10</v>
      </c>
      <c r="D92" s="9" t="s">
        <v>112</v>
      </c>
      <c r="E92" s="10"/>
    </row>
    <row r="93" spans="1:5" ht="18" customHeight="1" thickBot="1" x14ac:dyDescent="0.3">
      <c r="A93" s="12" t="s">
        <v>12</v>
      </c>
      <c r="B93" s="36" t="str">
        <f>INT(SUM(C85:C92)/60)&amp;"h"&amp;MOD(SUM(C85:C92),60)</f>
        <v>5h25</v>
      </c>
      <c r="C93" s="37"/>
      <c r="D93" s="37"/>
      <c r="E93" s="38"/>
    </row>
    <row r="94" spans="1:5" ht="27" x14ac:dyDescent="0.25">
      <c r="A94" s="13" t="s">
        <v>38</v>
      </c>
      <c r="B94" s="41">
        <v>46155</v>
      </c>
      <c r="C94" s="13">
        <v>60</v>
      </c>
      <c r="D94" s="14" t="s">
        <v>125</v>
      </c>
      <c r="E94" s="13"/>
    </row>
    <row r="95" spans="1:5" ht="18" customHeight="1" x14ac:dyDescent="0.25">
      <c r="A95" s="8" t="s">
        <v>38</v>
      </c>
      <c r="B95" s="42"/>
      <c r="C95" s="8">
        <v>35</v>
      </c>
      <c r="D95" s="9" t="s">
        <v>112</v>
      </c>
      <c r="E95" s="8"/>
    </row>
    <row r="96" spans="1:5" ht="40.5" x14ac:dyDescent="0.25">
      <c r="A96" s="8" t="s">
        <v>38</v>
      </c>
      <c r="B96" s="42"/>
      <c r="C96" s="8">
        <v>60</v>
      </c>
      <c r="D96" s="9" t="s">
        <v>126</v>
      </c>
      <c r="E96" s="8"/>
    </row>
    <row r="97" spans="1:5" ht="27" x14ac:dyDescent="0.25">
      <c r="A97" s="8" t="s">
        <v>38</v>
      </c>
      <c r="B97" s="42"/>
      <c r="C97" s="8">
        <v>60</v>
      </c>
      <c r="D97" s="9" t="s">
        <v>127</v>
      </c>
      <c r="E97" s="8"/>
    </row>
    <row r="98" spans="1:5" x14ac:dyDescent="0.25">
      <c r="A98" s="8" t="s">
        <v>38</v>
      </c>
      <c r="B98" s="42"/>
      <c r="C98" s="8">
        <v>25</v>
      </c>
      <c r="D98" s="9" t="s">
        <v>112</v>
      </c>
      <c r="E98" s="8"/>
    </row>
    <row r="99" spans="1:5" ht="40.5" x14ac:dyDescent="0.25">
      <c r="A99" s="8" t="s">
        <v>38</v>
      </c>
      <c r="B99" s="42"/>
      <c r="C99" s="8">
        <v>60</v>
      </c>
      <c r="D99" s="9" t="s">
        <v>128</v>
      </c>
      <c r="E99" s="8"/>
    </row>
    <row r="100" spans="1:5" x14ac:dyDescent="0.25">
      <c r="A100" s="8" t="s">
        <v>38</v>
      </c>
      <c r="B100" s="42"/>
      <c r="C100" s="8">
        <v>45</v>
      </c>
      <c r="D100" s="9" t="s">
        <v>129</v>
      </c>
      <c r="E100" s="8"/>
    </row>
    <row r="101" spans="1:5" x14ac:dyDescent="0.25">
      <c r="A101" s="8" t="s">
        <v>38</v>
      </c>
      <c r="B101" s="42"/>
      <c r="C101" s="8">
        <v>60</v>
      </c>
      <c r="D101" s="9" t="s">
        <v>130</v>
      </c>
      <c r="E101" s="8"/>
    </row>
    <row r="102" spans="1:5" ht="18" customHeight="1" thickBot="1" x14ac:dyDescent="0.3">
      <c r="A102" s="8" t="s">
        <v>38</v>
      </c>
      <c r="B102" s="43"/>
      <c r="C102" s="8">
        <v>25</v>
      </c>
      <c r="D102" s="9" t="s">
        <v>112</v>
      </c>
      <c r="E102" s="8"/>
    </row>
    <row r="103" spans="1:5" ht="18" customHeight="1" thickBot="1" x14ac:dyDescent="0.3">
      <c r="A103" s="12" t="s">
        <v>12</v>
      </c>
      <c r="B103" s="36" t="str">
        <f>INT(SUM(C94:C102)/60)&amp;"h"&amp;MOD(SUM(C94:C102),60)</f>
        <v>7h10</v>
      </c>
      <c r="C103" s="37"/>
      <c r="D103" s="37"/>
      <c r="E103" s="38"/>
    </row>
    <row r="104" spans="1:5" x14ac:dyDescent="0.25">
      <c r="A104" s="13" t="s">
        <v>131</v>
      </c>
      <c r="B104" s="41">
        <v>46160</v>
      </c>
      <c r="C104" s="13">
        <v>28</v>
      </c>
      <c r="D104" s="14" t="s">
        <v>132</v>
      </c>
      <c r="E104" s="13"/>
    </row>
    <row r="105" spans="1:5" ht="27" x14ac:dyDescent="0.25">
      <c r="A105" s="8" t="s">
        <v>38</v>
      </c>
      <c r="B105" s="42"/>
      <c r="C105" s="8">
        <v>22</v>
      </c>
      <c r="D105" s="9" t="s">
        <v>133</v>
      </c>
      <c r="E105" s="8"/>
    </row>
    <row r="106" spans="1:5" x14ac:dyDescent="0.25">
      <c r="A106" s="8" t="s">
        <v>38</v>
      </c>
      <c r="B106" s="42"/>
      <c r="C106" s="8">
        <v>20</v>
      </c>
      <c r="D106" s="9" t="s">
        <v>134</v>
      </c>
      <c r="E106" s="8"/>
    </row>
    <row r="107" spans="1:5" ht="27" x14ac:dyDescent="0.25">
      <c r="A107" s="8" t="s">
        <v>43</v>
      </c>
      <c r="B107" s="42"/>
      <c r="C107" s="8">
        <v>25</v>
      </c>
      <c r="D107" s="9" t="s">
        <v>135</v>
      </c>
      <c r="E107" s="8"/>
    </row>
    <row r="108" spans="1:5" x14ac:dyDescent="0.25">
      <c r="A108" s="8" t="s">
        <v>38</v>
      </c>
      <c r="B108" s="42"/>
      <c r="C108" s="8">
        <v>40</v>
      </c>
      <c r="D108" s="9" t="s">
        <v>136</v>
      </c>
      <c r="E108" s="8"/>
    </row>
    <row r="109" spans="1:5" ht="27" x14ac:dyDescent="0.25">
      <c r="A109" s="8" t="s">
        <v>38</v>
      </c>
      <c r="B109" s="42"/>
      <c r="C109" s="8">
        <v>55</v>
      </c>
      <c r="D109" s="9" t="s">
        <v>137</v>
      </c>
      <c r="E109" s="8"/>
    </row>
    <row r="110" spans="1:5" ht="27" x14ac:dyDescent="0.25">
      <c r="A110" s="8" t="s">
        <v>138</v>
      </c>
      <c r="B110" s="42"/>
      <c r="C110" s="8">
        <v>60</v>
      </c>
      <c r="D110" s="9" t="s">
        <v>139</v>
      </c>
      <c r="E110" s="8"/>
    </row>
    <row r="111" spans="1:5" ht="27" x14ac:dyDescent="0.25">
      <c r="A111" s="8" t="s">
        <v>38</v>
      </c>
      <c r="B111" s="42"/>
      <c r="C111" s="8">
        <v>60</v>
      </c>
      <c r="D111" s="9" t="s">
        <v>140</v>
      </c>
      <c r="E111" s="8"/>
    </row>
    <row r="112" spans="1:5" ht="18" customHeight="1" thickBot="1" x14ac:dyDescent="0.3">
      <c r="A112" s="8" t="s">
        <v>38</v>
      </c>
      <c r="B112" s="43"/>
      <c r="C112" s="8">
        <v>15</v>
      </c>
      <c r="D112" s="9" t="s">
        <v>141</v>
      </c>
      <c r="E112" s="8"/>
    </row>
    <row r="113" spans="1:5" ht="18" customHeight="1" thickBot="1" x14ac:dyDescent="0.3">
      <c r="A113" s="12" t="s">
        <v>12</v>
      </c>
      <c r="B113" s="36" t="str">
        <f>INT(SUM(C104:C112)/60)&amp;"h"&amp;MOD(SUM(C104:C112),60)</f>
        <v>5h25</v>
      </c>
      <c r="C113" s="37"/>
      <c r="D113" s="37"/>
      <c r="E113" s="38"/>
    </row>
    <row r="114" spans="1:5" ht="27" x14ac:dyDescent="0.25">
      <c r="A114" s="13" t="s">
        <v>38</v>
      </c>
      <c r="B114" s="41">
        <v>46162</v>
      </c>
      <c r="C114" s="13">
        <v>60</v>
      </c>
      <c r="D114" s="14" t="s">
        <v>142</v>
      </c>
      <c r="E114" s="13"/>
    </row>
    <row r="115" spans="1:5" x14ac:dyDescent="0.25">
      <c r="A115" s="8" t="s">
        <v>38</v>
      </c>
      <c r="B115" s="42"/>
      <c r="C115" s="8">
        <v>35</v>
      </c>
      <c r="D115" s="9" t="s">
        <v>143</v>
      </c>
      <c r="E115" s="8"/>
    </row>
    <row r="116" spans="1:5" ht="27" x14ac:dyDescent="0.25">
      <c r="A116" s="8" t="s">
        <v>148</v>
      </c>
      <c r="B116" s="42"/>
      <c r="C116" s="8">
        <v>20</v>
      </c>
      <c r="D116" s="9" t="s">
        <v>149</v>
      </c>
      <c r="E116" s="8"/>
    </row>
    <row r="117" spans="1:5" x14ac:dyDescent="0.25">
      <c r="A117" s="8" t="s">
        <v>150</v>
      </c>
      <c r="B117" s="42"/>
      <c r="C117" s="8">
        <v>30</v>
      </c>
      <c r="D117" s="9" t="s">
        <v>160</v>
      </c>
      <c r="E117" s="8"/>
    </row>
    <row r="118" spans="1:5" x14ac:dyDescent="0.25">
      <c r="A118" s="8" t="s">
        <v>163</v>
      </c>
      <c r="B118" s="42"/>
      <c r="C118" s="8">
        <v>60</v>
      </c>
      <c r="D118" s="9" t="s">
        <v>161</v>
      </c>
      <c r="E118" s="8"/>
    </row>
    <row r="119" spans="1:5" x14ac:dyDescent="0.25">
      <c r="A119" s="8" t="s">
        <v>163</v>
      </c>
      <c r="B119" s="42"/>
      <c r="C119" s="8">
        <v>45</v>
      </c>
      <c r="D119" s="9" t="s">
        <v>162</v>
      </c>
      <c r="E119" s="8"/>
    </row>
    <row r="120" spans="1:5" ht="27" x14ac:dyDescent="0.25">
      <c r="A120" s="8" t="s">
        <v>164</v>
      </c>
      <c r="B120" s="42"/>
      <c r="C120" s="8">
        <v>60</v>
      </c>
      <c r="D120" s="9" t="s">
        <v>165</v>
      </c>
      <c r="E120" s="8"/>
    </row>
    <row r="121" spans="1:5" x14ac:dyDescent="0.25">
      <c r="A121" s="8" t="s">
        <v>166</v>
      </c>
      <c r="B121" s="42"/>
      <c r="C121" s="8">
        <v>35</v>
      </c>
      <c r="D121" s="9" t="s">
        <v>167</v>
      </c>
      <c r="E121" s="8"/>
    </row>
    <row r="122" spans="1:5" x14ac:dyDescent="0.25">
      <c r="A122" s="8" t="s">
        <v>166</v>
      </c>
      <c r="B122" s="42"/>
      <c r="C122" s="8">
        <v>60</v>
      </c>
      <c r="D122" s="9" t="s">
        <v>169</v>
      </c>
      <c r="E122" s="8"/>
    </row>
    <row r="123" spans="1:5" ht="18" customHeight="1" thickBot="1" x14ac:dyDescent="0.3">
      <c r="A123" s="8" t="s">
        <v>166</v>
      </c>
      <c r="B123" s="43"/>
      <c r="C123" s="8">
        <v>35</v>
      </c>
      <c r="D123" s="9" t="s">
        <v>170</v>
      </c>
      <c r="E123" s="8"/>
    </row>
    <row r="124" spans="1:5" ht="18" customHeight="1" thickBot="1" x14ac:dyDescent="0.3">
      <c r="A124" s="12" t="s">
        <v>12</v>
      </c>
      <c r="B124" s="36" t="str">
        <f>INT(SUM(C114:C123)/60)&amp;"h"&amp;MOD(SUM(C114:C123),60)</f>
        <v>7h20</v>
      </c>
      <c r="C124" s="37"/>
      <c r="D124" s="37"/>
      <c r="E124" s="38"/>
    </row>
    <row r="125" spans="1:5" ht="27" x14ac:dyDescent="0.25">
      <c r="A125" s="13" t="s">
        <v>171</v>
      </c>
      <c r="B125" s="41">
        <v>46163</v>
      </c>
      <c r="C125" s="13">
        <v>30</v>
      </c>
      <c r="D125" s="14" t="s">
        <v>172</v>
      </c>
      <c r="E125" s="13"/>
    </row>
    <row r="126" spans="1:5" x14ac:dyDescent="0.25">
      <c r="A126" s="8" t="s">
        <v>173</v>
      </c>
      <c r="B126" s="42"/>
      <c r="C126" s="8">
        <v>30</v>
      </c>
      <c r="D126" s="9" t="s">
        <v>174</v>
      </c>
      <c r="E126" s="8"/>
    </row>
    <row r="127" spans="1:5" x14ac:dyDescent="0.25">
      <c r="A127" s="8" t="s">
        <v>175</v>
      </c>
      <c r="B127" s="42"/>
      <c r="C127" s="8">
        <v>35</v>
      </c>
      <c r="D127" s="9" t="s">
        <v>176</v>
      </c>
      <c r="E127" s="8" t="s">
        <v>168</v>
      </c>
    </row>
    <row r="128" spans="1:5" x14ac:dyDescent="0.25">
      <c r="A128" s="8" t="s">
        <v>175</v>
      </c>
      <c r="B128" s="42"/>
      <c r="C128" s="8">
        <v>60</v>
      </c>
      <c r="D128" s="9" t="s">
        <v>177</v>
      </c>
      <c r="E128" s="8"/>
    </row>
    <row r="129" spans="1:5" x14ac:dyDescent="0.25">
      <c r="A129" s="8" t="s">
        <v>175</v>
      </c>
      <c r="B129" s="42"/>
      <c r="C129" s="8">
        <v>35</v>
      </c>
      <c r="D129" s="9" t="s">
        <v>178</v>
      </c>
      <c r="E129" s="8"/>
    </row>
    <row r="130" spans="1:5" x14ac:dyDescent="0.25">
      <c r="A130" s="8"/>
      <c r="B130" s="42"/>
      <c r="C130" s="8"/>
      <c r="D130" s="9"/>
      <c r="E130" s="8"/>
    </row>
    <row r="131" spans="1:5" x14ac:dyDescent="0.25">
      <c r="A131" s="8"/>
      <c r="B131" s="42"/>
      <c r="C131" s="8"/>
      <c r="D131" s="9"/>
      <c r="E131" s="8"/>
    </row>
    <row r="132" spans="1:5" x14ac:dyDescent="0.25">
      <c r="A132" s="8"/>
      <c r="B132" s="42"/>
      <c r="C132" s="8"/>
      <c r="D132" s="9"/>
      <c r="E132" s="8"/>
    </row>
    <row r="133" spans="1:5" x14ac:dyDescent="0.25">
      <c r="A133" s="8"/>
      <c r="B133" s="42"/>
      <c r="C133" s="8"/>
      <c r="D133" s="9"/>
      <c r="E133" s="8"/>
    </row>
    <row r="134" spans="1:5" ht="18" customHeight="1" thickBot="1" x14ac:dyDescent="0.3">
      <c r="A134" s="8"/>
      <c r="B134" s="43"/>
      <c r="C134" s="8"/>
      <c r="D134" s="9"/>
      <c r="E134" s="8"/>
    </row>
    <row r="135" spans="1:5" ht="18" customHeight="1" thickBot="1" x14ac:dyDescent="0.3">
      <c r="A135" s="12" t="s">
        <v>12</v>
      </c>
      <c r="B135" s="36" t="str">
        <f>INT(SUM(C125:C134)/60)&amp;"h"&amp;MOD(SUM(C125:C134),60)</f>
        <v>3h10</v>
      </c>
      <c r="C135" s="37"/>
      <c r="D135" s="37"/>
      <c r="E135" s="38"/>
    </row>
    <row r="136" spans="1:5" x14ac:dyDescent="0.25">
      <c r="A136" s="13" t="s">
        <v>179</v>
      </c>
      <c r="B136" s="41">
        <v>46163</v>
      </c>
      <c r="C136" s="13">
        <v>60</v>
      </c>
      <c r="D136" s="14" t="s">
        <v>180</v>
      </c>
      <c r="E136" s="13"/>
    </row>
    <row r="137" spans="1:5" x14ac:dyDescent="0.25">
      <c r="A137" s="8" t="s">
        <v>179</v>
      </c>
      <c r="B137" s="42"/>
      <c r="C137" s="8">
        <v>35</v>
      </c>
      <c r="D137" s="9" t="s">
        <v>181</v>
      </c>
      <c r="E137" s="8"/>
    </row>
    <row r="138" spans="1:5" ht="27" x14ac:dyDescent="0.25">
      <c r="A138" s="8" t="s">
        <v>182</v>
      </c>
      <c r="B138" s="42"/>
      <c r="C138" s="8">
        <v>60</v>
      </c>
      <c r="D138" s="9" t="s">
        <v>183</v>
      </c>
      <c r="E138" s="8"/>
    </row>
    <row r="139" spans="1:5" ht="81" x14ac:dyDescent="0.25">
      <c r="A139" s="8" t="s">
        <v>182</v>
      </c>
      <c r="B139" s="42"/>
      <c r="C139" s="8">
        <v>60</v>
      </c>
      <c r="D139" s="9" t="s">
        <v>184</v>
      </c>
      <c r="E139" s="8"/>
    </row>
    <row r="140" spans="1:5" x14ac:dyDescent="0.25">
      <c r="A140" s="8" t="s">
        <v>179</v>
      </c>
      <c r="B140" s="42"/>
      <c r="C140" s="8">
        <v>25</v>
      </c>
      <c r="D140" s="9" t="s">
        <v>112</v>
      </c>
      <c r="E140" s="8"/>
    </row>
    <row r="141" spans="1:5" ht="27" x14ac:dyDescent="0.25">
      <c r="A141" s="8" t="s">
        <v>179</v>
      </c>
      <c r="B141" s="42"/>
      <c r="C141" s="8">
        <v>60</v>
      </c>
      <c r="D141" s="9" t="s">
        <v>185</v>
      </c>
      <c r="E141" s="8"/>
    </row>
    <row r="142" spans="1:5" x14ac:dyDescent="0.25">
      <c r="A142" s="8" t="s">
        <v>138</v>
      </c>
      <c r="B142" s="42"/>
      <c r="C142" s="8">
        <v>40</v>
      </c>
      <c r="D142" s="9" t="s">
        <v>189</v>
      </c>
      <c r="E142" s="8"/>
    </row>
    <row r="143" spans="1:5" ht="27" x14ac:dyDescent="0.25">
      <c r="A143" s="8" t="s">
        <v>190</v>
      </c>
      <c r="B143" s="42"/>
      <c r="C143" s="8">
        <v>60</v>
      </c>
      <c r="D143" s="9" t="s">
        <v>191</v>
      </c>
      <c r="E143" s="8"/>
    </row>
    <row r="144" spans="1:5" ht="27" x14ac:dyDescent="0.25">
      <c r="A144" s="8" t="s">
        <v>192</v>
      </c>
      <c r="B144" s="42"/>
      <c r="C144" s="8">
        <v>30</v>
      </c>
      <c r="D144" s="9" t="s">
        <v>193</v>
      </c>
      <c r="E144" s="8"/>
    </row>
    <row r="145" spans="1:5" ht="18" customHeight="1" thickBot="1" x14ac:dyDescent="0.3">
      <c r="A145" s="8"/>
      <c r="B145" s="43"/>
      <c r="C145" s="8"/>
      <c r="D145" s="9"/>
      <c r="E145" s="8"/>
    </row>
    <row r="146" spans="1:5" ht="18" customHeight="1" thickBot="1" x14ac:dyDescent="0.3">
      <c r="A146" s="12" t="s">
        <v>12</v>
      </c>
      <c r="B146" s="36" t="str">
        <f>INT(SUM(C136:C145)/60)&amp;"h"&amp;MOD(SUM(C136:C145),60)</f>
        <v>7h10</v>
      </c>
      <c r="C146" s="37"/>
      <c r="D146" s="37"/>
      <c r="E146" s="38"/>
    </row>
    <row r="147" spans="1:5" ht="21" customHeight="1" thickBot="1" x14ac:dyDescent="0.3">
      <c r="A147" s="39" t="s">
        <v>13</v>
      </c>
      <c r="B147" s="40"/>
      <c r="C147" s="15">
        <f>MROUND(SUM(C6:C146) /60,0.2)</f>
        <v>81.600000000000009</v>
      </c>
      <c r="D147" s="16"/>
      <c r="E147" s="17"/>
    </row>
    <row r="149" spans="1:5" x14ac:dyDescent="0.25">
      <c r="A149" s="18" t="s">
        <v>14</v>
      </c>
    </row>
    <row r="150" spans="1:5" x14ac:dyDescent="0.25">
      <c r="A150" s="18"/>
    </row>
    <row r="152" spans="1:5" x14ac:dyDescent="0.25">
      <c r="E152" s="24"/>
    </row>
    <row r="153" spans="1:5" x14ac:dyDescent="0.25">
      <c r="E153" s="24"/>
    </row>
    <row r="154" spans="1:5" x14ac:dyDescent="0.25">
      <c r="E154" s="24"/>
    </row>
    <row r="155" spans="1:5" x14ac:dyDescent="0.25">
      <c r="E155" s="24"/>
    </row>
    <row r="156" spans="1:5" x14ac:dyDescent="0.25">
      <c r="C156" s="1" t="s">
        <v>158</v>
      </c>
      <c r="D156" s="35" t="s">
        <v>159</v>
      </c>
    </row>
    <row r="157" spans="1:5" x14ac:dyDescent="0.25">
      <c r="A157" s="1" t="s">
        <v>186</v>
      </c>
      <c r="C157" s="24">
        <v>0.41666666666666669</v>
      </c>
      <c r="D157" s="24">
        <v>0.41666666666666669</v>
      </c>
      <c r="E157" s="34"/>
    </row>
    <row r="158" spans="1:5" x14ac:dyDescent="0.25">
      <c r="A158" s="1" t="s">
        <v>144</v>
      </c>
      <c r="C158" s="34">
        <v>1.3555555555555556</v>
      </c>
      <c r="D158" s="24">
        <v>0.41666666666666669</v>
      </c>
    </row>
    <row r="160" spans="1:5" x14ac:dyDescent="0.25">
      <c r="A160" s="1" t="s">
        <v>145</v>
      </c>
      <c r="C160" s="24">
        <v>6.5972222222222224E-2</v>
      </c>
      <c r="D160" s="24">
        <v>0.625</v>
      </c>
    </row>
    <row r="162" spans="1:5" x14ac:dyDescent="0.25">
      <c r="A162" s="1" t="s">
        <v>146</v>
      </c>
      <c r="C162" s="24">
        <v>8.3333333333333329E-2</v>
      </c>
      <c r="D162" s="24">
        <v>0.125</v>
      </c>
    </row>
    <row r="163" spans="1:5" x14ac:dyDescent="0.25">
      <c r="E163" s="24"/>
    </row>
    <row r="164" spans="1:5" x14ac:dyDescent="0.25">
      <c r="A164" s="1" t="s">
        <v>45</v>
      </c>
      <c r="C164" s="24">
        <v>0.1111111111111111</v>
      </c>
      <c r="D164" s="24">
        <v>0.33333333333333331</v>
      </c>
      <c r="E164" s="24"/>
    </row>
    <row r="166" spans="1:5" x14ac:dyDescent="0.25">
      <c r="A166" s="1" t="s">
        <v>147</v>
      </c>
      <c r="C166" s="24">
        <v>0.15625</v>
      </c>
      <c r="D166" s="24">
        <v>0.25</v>
      </c>
    </row>
    <row r="168" spans="1:5" x14ac:dyDescent="0.25">
      <c r="A168" s="1" t="s">
        <v>151</v>
      </c>
      <c r="C168" s="24">
        <v>0.18402777777777779</v>
      </c>
      <c r="D168" s="24">
        <v>0.16666666666666666</v>
      </c>
    </row>
    <row r="170" spans="1:5" ht="40.5" x14ac:dyDescent="0.25">
      <c r="A170" s="33" t="s">
        <v>152</v>
      </c>
      <c r="C170" s="24">
        <v>0.19791666666666666</v>
      </c>
      <c r="D170" s="24">
        <v>0.33333333333333331</v>
      </c>
    </row>
    <row r="172" spans="1:5" ht="54" x14ac:dyDescent="0.25">
      <c r="A172" s="33" t="s">
        <v>153</v>
      </c>
      <c r="C172" s="24">
        <v>0.25347222222222221</v>
      </c>
      <c r="D172" s="24">
        <v>0.33333333333333331</v>
      </c>
    </row>
    <row r="174" spans="1:5" x14ac:dyDescent="0.25">
      <c r="A174" s="1" t="s">
        <v>154</v>
      </c>
      <c r="C174" s="24">
        <v>0.11458333333333333</v>
      </c>
      <c r="D174" s="24">
        <v>0.25</v>
      </c>
    </row>
    <row r="176" spans="1:5" x14ac:dyDescent="0.25">
      <c r="A176" s="1" t="s">
        <v>155</v>
      </c>
      <c r="C176" s="24">
        <v>8.3333333333333329E-2</v>
      </c>
      <c r="D176" s="24">
        <v>0.20833333333333334</v>
      </c>
    </row>
    <row r="178" spans="1:4" x14ac:dyDescent="0.25">
      <c r="A178" s="1" t="s">
        <v>157</v>
      </c>
      <c r="C178" s="34">
        <f>C180 - SUM(C158:C176)</f>
        <v>0.71388888888888857</v>
      </c>
      <c r="D178" s="48">
        <v>0</v>
      </c>
    </row>
    <row r="180" spans="1:4" x14ac:dyDescent="0.25">
      <c r="A180" s="1" t="s">
        <v>156</v>
      </c>
      <c r="C180" s="34">
        <v>3.3194444444444446</v>
      </c>
    </row>
  </sheetData>
  <mergeCells count="33">
    <mergeCell ref="B135:E135"/>
    <mergeCell ref="B1:C1"/>
    <mergeCell ref="B2:C2"/>
    <mergeCell ref="B3:C3"/>
    <mergeCell ref="B4:E4"/>
    <mergeCell ref="B67:E67"/>
    <mergeCell ref="B6:B17"/>
    <mergeCell ref="B18:E18"/>
    <mergeCell ref="B19:B27"/>
    <mergeCell ref="B28:E28"/>
    <mergeCell ref="B29:B33"/>
    <mergeCell ref="B34:E34"/>
    <mergeCell ref="B35:B44"/>
    <mergeCell ref="B45:E45"/>
    <mergeCell ref="B46:B53"/>
    <mergeCell ref="B54:E54"/>
    <mergeCell ref="B55:B66"/>
    <mergeCell ref="B146:E146"/>
    <mergeCell ref="A147:B147"/>
    <mergeCell ref="B68:B72"/>
    <mergeCell ref="B73:E73"/>
    <mergeCell ref="B74:B83"/>
    <mergeCell ref="B84:E84"/>
    <mergeCell ref="B85:B92"/>
    <mergeCell ref="B93:E93"/>
    <mergeCell ref="B136:B145"/>
    <mergeCell ref="B94:B102"/>
    <mergeCell ref="B103:E103"/>
    <mergeCell ref="B104:B112"/>
    <mergeCell ref="B113:E113"/>
    <mergeCell ref="B114:B123"/>
    <mergeCell ref="B124:E124"/>
    <mergeCell ref="B125:B134"/>
  </mergeCells>
  <dataValidations count="2">
    <dataValidation type="whole" operator="greaterThan" allowBlank="1" showInputMessage="1" showErrorMessage="1" errorTitle="Durée par tranche de 10min" error="Le nombre doit être de type entier" sqref="C85:C92 C74:C83 C55:C66 C68:C72 C29:C33 B6 C6:C17 C35:C44 C46:C53 C136:C145 C19:C27 C94:C102 C104:C112 C114:C123 C125:C134" xr:uid="{345ABA8F-B69F-4AFC-9D0E-D2AB0ACDE277}">
      <formula1>0</formula1>
    </dataValidation>
    <dataValidation type="date" operator="greaterThan" allowBlank="1" showInputMessage="1" showErrorMessage="1" errorTitle="Durée par tranche de 10min" error="Le nombre doit être de type entier" sqref="B19:B27 B29:B33 B35:B44 B46:B53 B55:B66 B68:B72 B74:B83 B85:B92 B136:B145 B94:B102 B104:B112 B114:B123 B125:B134" xr:uid="{7694F886-C01B-440C-B6C8-5FF698F43C26}">
      <formula1>45261</formula1>
    </dataValidation>
  </dataValidations>
  <hyperlinks>
    <hyperlink ref="E30" r:id="rId1" xr:uid="{F187DE9B-B8D0-41A3-8491-0AAD2D53ABFB}"/>
  </hyperlinks>
  <printOptions horizontalCentered="1"/>
  <pageMargins left="0.51181102362204722" right="0.51181102362204722" top="0.74803149606299213" bottom="0.74803149606299213" header="0.31496062992125984" footer="0.31496062992125984"/>
  <pageSetup paperSize="9" scale="23" orientation="portrait" r:id="rId2"/>
  <headerFooter>
    <oddHeader>&amp;L&amp;"Etml_font,Normal"&amp;22ETML&amp;R&amp;G</oddHeader>
    <oddFooter>&amp;L&amp;14&amp;D&amp;R&amp;14Journal</oddFoot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8320A-3DEF-4FFB-92B3-3073BCAD0028}">
  <dimension ref="A1:G33"/>
  <sheetViews>
    <sheetView workbookViewId="0">
      <selection activeCell="E18" sqref="E18"/>
    </sheetView>
  </sheetViews>
  <sheetFormatPr baseColWidth="10" defaultRowHeight="13.5" x14ac:dyDescent="0.25"/>
  <cols>
    <col min="6" max="6" width="17" bestFit="1" customWidth="1"/>
    <col min="7" max="7" width="16.5703125" customWidth="1"/>
    <col min="9" max="9" width="16.28515625" bestFit="1" customWidth="1"/>
  </cols>
  <sheetData>
    <row r="1" spans="1:7" x14ac:dyDescent="0.25">
      <c r="B1" t="s">
        <v>21</v>
      </c>
      <c r="C1" t="s">
        <v>22</v>
      </c>
      <c r="D1" t="s">
        <v>23</v>
      </c>
      <c r="E1" t="s">
        <v>24</v>
      </c>
      <c r="F1" t="s">
        <v>25</v>
      </c>
      <c r="G1" t="s">
        <v>26</v>
      </c>
    </row>
    <row r="2" spans="1:7" x14ac:dyDescent="0.25">
      <c r="A2" t="s">
        <v>27</v>
      </c>
      <c r="B2" s="26">
        <v>0.33333333333333331</v>
      </c>
      <c r="C2" s="26">
        <v>0.47569444444444442</v>
      </c>
      <c r="D2" s="26">
        <v>0.51041666666666663</v>
      </c>
      <c r="E2" s="26">
        <v>0.61458333333333337</v>
      </c>
      <c r="F2" s="26">
        <v>2.0833333333333332E-2</v>
      </c>
      <c r="G2" s="26">
        <f>C2-B2+E2-D2-F2</f>
        <v>0.22569444444444445</v>
      </c>
    </row>
    <row r="3" spans="1:7" x14ac:dyDescent="0.25">
      <c r="A3" t="s">
        <v>28</v>
      </c>
      <c r="B3" s="26">
        <v>0</v>
      </c>
      <c r="C3" s="26">
        <v>0</v>
      </c>
      <c r="D3" s="26">
        <v>0</v>
      </c>
      <c r="E3" s="26">
        <v>0</v>
      </c>
      <c r="F3" s="26">
        <v>0</v>
      </c>
      <c r="G3" s="26">
        <v>0</v>
      </c>
    </row>
    <row r="4" spans="1:7" x14ac:dyDescent="0.25">
      <c r="A4" t="s">
        <v>29</v>
      </c>
      <c r="B4" s="26">
        <v>0.33333333333333331</v>
      </c>
      <c r="C4" s="26">
        <v>0.51041666666666663</v>
      </c>
      <c r="D4" s="26">
        <v>0.54861111111111116</v>
      </c>
      <c r="E4" s="26">
        <v>0.69097222222222221</v>
      </c>
      <c r="F4" s="26">
        <v>2.0833333333333332E-2</v>
      </c>
      <c r="G4" s="26">
        <v>0.2986111111111111</v>
      </c>
    </row>
    <row r="5" spans="1:7" x14ac:dyDescent="0.25">
      <c r="A5" t="s">
        <v>30</v>
      </c>
      <c r="B5" s="26">
        <v>0</v>
      </c>
      <c r="C5" s="26">
        <v>0</v>
      </c>
      <c r="D5" s="26">
        <v>0.54861111111111116</v>
      </c>
      <c r="E5" s="26">
        <v>0.69097222222222221</v>
      </c>
      <c r="F5" s="26">
        <v>1.0416666666666666E-2</v>
      </c>
      <c r="G5" s="26">
        <f>E5-D5-F5</f>
        <v>0.13194444444444439</v>
      </c>
    </row>
    <row r="6" spans="1:7" x14ac:dyDescent="0.25">
      <c r="A6" t="s">
        <v>31</v>
      </c>
      <c r="B6" s="26">
        <v>0.33333333333333331</v>
      </c>
      <c r="C6" s="26">
        <v>0.51041666666666663</v>
      </c>
      <c r="D6" s="26">
        <v>0.54861111111111116</v>
      </c>
      <c r="E6" s="26">
        <v>0.69097222222222221</v>
      </c>
      <c r="F6" s="26">
        <v>2.0833333333333332E-2</v>
      </c>
      <c r="G6" s="26">
        <v>0.2986111111111111</v>
      </c>
    </row>
    <row r="8" spans="1:7" x14ac:dyDescent="0.25">
      <c r="F8" t="s">
        <v>32</v>
      </c>
      <c r="G8" s="26">
        <v>0.95138888888888884</v>
      </c>
    </row>
    <row r="15" spans="1:7" x14ac:dyDescent="0.25">
      <c r="E15" s="26"/>
    </row>
    <row r="16" spans="1:7" x14ac:dyDescent="0.25">
      <c r="E16" s="26"/>
    </row>
    <row r="19" spans="3:5" x14ac:dyDescent="0.25">
      <c r="E19" s="26"/>
    </row>
    <row r="20" spans="3:5" x14ac:dyDescent="0.25">
      <c r="E20" s="26"/>
    </row>
    <row r="22" spans="3:5" x14ac:dyDescent="0.25">
      <c r="C22" s="26"/>
    </row>
    <row r="33" spans="4:4" x14ac:dyDescent="0.25">
      <c r="D33" s="2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B99F57F4D89D439F52EDCD0CED316B" ma:contentTypeVersion="7" ma:contentTypeDescription="Crée un document." ma:contentTypeScope="" ma:versionID="d33ce6f53f467230af3a4d19e3409e37">
  <xsd:schema xmlns:xsd="http://www.w3.org/2001/XMLSchema" xmlns:xs="http://www.w3.org/2001/XMLSchema" xmlns:p="http://schemas.microsoft.com/office/2006/metadata/properties" xmlns:ns2="6b19550a-bdc3-4796-8096-c6911560d534" targetNamespace="http://schemas.microsoft.com/office/2006/metadata/properties" ma:root="true" ma:fieldsID="fd1611c028c4b8e5ae6fe3ffca8b06cf" ns2:_="">
    <xsd:import namespace="6b19550a-bdc3-4796-8096-c6911560d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19550a-bdc3-4796-8096-c6911560d5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568DEC-920F-4A54-AD30-257A3312E4FF}">
  <ds:schemaRefs>
    <ds:schemaRef ds:uri="http://purl.org/dc/dcmitype/"/>
    <ds:schemaRef ds:uri="http://purl.org/dc/elements/1.1/"/>
    <ds:schemaRef ds:uri="http://purl.org/dc/terms/"/>
    <ds:schemaRef ds:uri="6b19550a-bdc3-4796-8096-c6911560d534"/>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38BCAAC0-9C03-42D2-8685-2E30F60CCBAA}">
  <ds:schemaRefs>
    <ds:schemaRef ds:uri="http://schemas.microsoft.com/sharepoint/v3/contenttype/forms"/>
  </ds:schemaRefs>
</ds:datastoreItem>
</file>

<file path=customXml/itemProps3.xml><?xml version="1.0" encoding="utf-8"?>
<ds:datastoreItem xmlns:ds="http://schemas.openxmlformats.org/officeDocument/2006/customXml" ds:itemID="{80685F9E-CFF7-4CE8-86AB-E177C421B2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19550a-bdc3-4796-8096-c6911560d5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vt:lpstr>
      <vt:lpstr>Feuil1</vt:lpstr>
      <vt:lpstr>Journal!Zone_d_impression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JNLTRAV</dc:title>
  <dc:subject>Journal de travail</dc:subject>
  <dc:creator>Dimitri Lymberis</dc:creator>
  <cp:keywords/>
  <dc:description/>
  <cp:lastModifiedBy>Thomas Louis Nardou</cp:lastModifiedBy>
  <cp:revision/>
  <dcterms:created xsi:type="dcterms:W3CDTF">1996-10-21T11:03:58Z</dcterms:created>
  <dcterms:modified xsi:type="dcterms:W3CDTF">2026-05-22T13:48:59Z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0x010100FBB99F57F4D89D439F52EDCD0CED316B</vt:lpwstr>
  </property>
  <property fmtid="{D5CDD505-2E9C-101B-9397-08002B2CF9AE}" pid="3" name="Order">
    <vt:r8>195700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ies>
</file>